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34676\Desktop\DATA ANALSYS MATERIAL SELF LEARNING\Projects\Project 1- Sales Performance Analysis\03_Deliverables\"/>
    </mc:Choice>
  </mc:AlternateContent>
  <xr:revisionPtr revIDLastSave="0" documentId="13_ncr:1_{3CCC9A33-0987-4E0F-80FD-8B711259ECD5}" xr6:coauthVersionLast="47" xr6:coauthVersionMax="47" xr10:uidLastSave="{00000000-0000-0000-0000-000000000000}"/>
  <bookViews>
    <workbookView xWindow="-108" yWindow="-108" windowWidth="23256" windowHeight="12456" xr2:uid="{00000000-000D-0000-FFFF-FFFF00000000}"/>
  </bookViews>
  <sheets>
    <sheet name="Raw_Data" sheetId="14" r:id="rId1"/>
    <sheet name="KPI_Definitions" sheetId="2" r:id="rId2"/>
    <sheet name="Overall_Performance" sheetId="5" r:id="rId3"/>
    <sheet name="Revenue_by_Region" sheetId="7" r:id="rId4"/>
    <sheet name="Revenue_Share_by_Region" sheetId="8" r:id="rId5"/>
    <sheet name="Revenue_by_Product" sheetId="9" r:id="rId6"/>
    <sheet name="Revenue_by_Order_size" sheetId="21" r:id="rId7"/>
    <sheet name="Product_Mix_by_Category" sheetId="11" r:id="rId8"/>
    <sheet name="Salesperson_performance" sheetId="12" r:id="rId9"/>
    <sheet name="Monthly_Revenue_Trend" sheetId="19" r:id="rId10"/>
    <sheet name="Sales_Performance_Dashboard" sheetId="18" r:id="rId11"/>
  </sheets>
  <definedNames>
    <definedName name="_xlnm._FilterDatabase" localSheetId="0" hidden="1">Raw_Data!$A$1:$I$501</definedName>
    <definedName name="Slicer_Category">#N/A</definedName>
    <definedName name="Slicer_Product">#N/A</definedName>
    <definedName name="Slicer_Region">#N/A</definedName>
    <definedName name="Slicer_Salesperson">#N/A</definedName>
  </definedNames>
  <calcPr calcId="191029"/>
  <pivotCaches>
    <pivotCache cacheId="0" r:id="rId12"/>
    <pivotCache cacheId="3" r:id="rId13"/>
    <pivotCache cacheId="6"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3" i="2"/>
  <c r="C2" i="2"/>
  <c r="J501" i="14"/>
  <c r="J500" i="14"/>
  <c r="J499" i="14"/>
  <c r="J498" i="14"/>
  <c r="J497" i="14"/>
  <c r="J496" i="14"/>
  <c r="J495" i="14"/>
  <c r="J494" i="14"/>
  <c r="J493" i="14"/>
  <c r="J492" i="14"/>
  <c r="J491" i="14"/>
  <c r="J490" i="14"/>
  <c r="J489" i="14"/>
  <c r="J488" i="14"/>
  <c r="J487" i="14"/>
  <c r="J486" i="14"/>
  <c r="J485" i="14"/>
  <c r="J484" i="14"/>
  <c r="J483" i="14"/>
  <c r="J482" i="14"/>
  <c r="J481" i="14"/>
  <c r="J480" i="14"/>
  <c r="J479" i="14"/>
  <c r="J478" i="14"/>
  <c r="J477" i="14"/>
  <c r="J476" i="14"/>
  <c r="J475" i="14"/>
  <c r="J474" i="14"/>
  <c r="J473" i="14"/>
  <c r="J472" i="14"/>
  <c r="J471" i="14"/>
  <c r="J470" i="14"/>
  <c r="J469" i="14"/>
  <c r="J468" i="14"/>
  <c r="J467" i="14"/>
  <c r="J466" i="14"/>
  <c r="J465" i="14"/>
  <c r="J464" i="14"/>
  <c r="J463" i="14"/>
  <c r="J462" i="14"/>
  <c r="J461" i="14"/>
  <c r="J460" i="14"/>
  <c r="J459" i="14"/>
  <c r="J458" i="14"/>
  <c r="J457" i="14"/>
  <c r="J456" i="14"/>
  <c r="J455" i="14"/>
  <c r="J454" i="14"/>
  <c r="J453" i="14"/>
  <c r="J452" i="14"/>
  <c r="J451" i="14"/>
  <c r="J450" i="14"/>
  <c r="J449" i="14"/>
  <c r="J448" i="14"/>
  <c r="J447" i="14"/>
  <c r="J446" i="14"/>
  <c r="J445" i="14"/>
  <c r="J444" i="14"/>
  <c r="J443" i="14"/>
  <c r="J442" i="14"/>
  <c r="J441" i="14"/>
  <c r="J440" i="14"/>
  <c r="J439" i="14"/>
  <c r="J438" i="14"/>
  <c r="J437" i="14"/>
  <c r="J436" i="14"/>
  <c r="J435" i="14"/>
  <c r="J434" i="14"/>
  <c r="J433" i="14"/>
  <c r="J432" i="14"/>
  <c r="J431" i="14"/>
  <c r="J430" i="14"/>
  <c r="J429" i="14"/>
  <c r="J428" i="14"/>
  <c r="J427" i="14"/>
  <c r="J426" i="14"/>
  <c r="J425" i="14"/>
  <c r="J424" i="14"/>
  <c r="J423" i="14"/>
  <c r="J422" i="14"/>
  <c r="J421" i="14"/>
  <c r="J420" i="14"/>
  <c r="J419" i="14"/>
  <c r="J418" i="14"/>
  <c r="J417" i="14"/>
  <c r="J416" i="14"/>
  <c r="J415" i="14"/>
  <c r="J414" i="14"/>
  <c r="J413" i="14"/>
  <c r="J412" i="14"/>
  <c r="J411" i="14"/>
  <c r="J410" i="14"/>
  <c r="J409" i="14"/>
  <c r="J408" i="14"/>
  <c r="J407" i="14"/>
  <c r="J406" i="14"/>
  <c r="J405" i="14"/>
  <c r="J404" i="14"/>
  <c r="J403" i="14"/>
  <c r="J402" i="14"/>
  <c r="J401" i="14"/>
  <c r="J400" i="14"/>
  <c r="J399" i="14"/>
  <c r="J398" i="14"/>
  <c r="J397" i="14"/>
  <c r="J396" i="14"/>
  <c r="J395" i="14"/>
  <c r="J394" i="14"/>
  <c r="J393" i="14"/>
  <c r="J392" i="14"/>
  <c r="J391" i="14"/>
  <c r="J390" i="14"/>
  <c r="J389" i="14"/>
  <c r="J388" i="14"/>
  <c r="J387" i="14"/>
  <c r="J386" i="14"/>
  <c r="J385" i="14"/>
  <c r="J384" i="14"/>
  <c r="J383" i="14"/>
  <c r="J382" i="14"/>
  <c r="J381" i="14"/>
  <c r="J380" i="14"/>
  <c r="J379" i="14"/>
  <c r="J378" i="14"/>
  <c r="J377" i="14"/>
  <c r="J376" i="14"/>
  <c r="J375" i="14"/>
  <c r="J374" i="14"/>
  <c r="J373" i="14"/>
  <c r="J372" i="14"/>
  <c r="J371" i="14"/>
  <c r="J370" i="14"/>
  <c r="J369" i="14"/>
  <c r="J368" i="14"/>
  <c r="J367" i="14"/>
  <c r="J366" i="14"/>
  <c r="J365" i="14"/>
  <c r="J364" i="14"/>
  <c r="J363" i="14"/>
  <c r="J362" i="14"/>
  <c r="J361" i="14"/>
  <c r="J360" i="14"/>
  <c r="J359" i="14"/>
  <c r="J358" i="14"/>
  <c r="J357" i="14"/>
  <c r="J356" i="14"/>
  <c r="J355" i="14"/>
  <c r="J354" i="14"/>
  <c r="J353" i="14"/>
  <c r="J352" i="14"/>
  <c r="J351" i="14"/>
  <c r="J350" i="14"/>
  <c r="J349" i="14"/>
  <c r="J348" i="14"/>
  <c r="J347" i="14"/>
  <c r="J346" i="14"/>
  <c r="J345" i="14"/>
  <c r="J344" i="14"/>
  <c r="J343" i="14"/>
  <c r="J342" i="14"/>
  <c r="J341" i="14"/>
  <c r="J340" i="14"/>
  <c r="J339" i="14"/>
  <c r="J338" i="14"/>
  <c r="J337" i="14"/>
  <c r="J336" i="14"/>
  <c r="J335" i="14"/>
  <c r="J334" i="14"/>
  <c r="J333" i="14"/>
  <c r="J332" i="14"/>
  <c r="J331" i="14"/>
  <c r="J330" i="14"/>
  <c r="J329" i="14"/>
  <c r="J328" i="14"/>
  <c r="J327" i="14"/>
  <c r="J326" i="14"/>
  <c r="J325" i="14"/>
  <c r="J324" i="14"/>
  <c r="J323" i="14"/>
  <c r="J322" i="14"/>
  <c r="J321" i="14"/>
  <c r="J320" i="14"/>
  <c r="J319" i="14"/>
  <c r="J318" i="14"/>
  <c r="J317" i="14"/>
  <c r="J316" i="14"/>
  <c r="J315" i="14"/>
  <c r="J314" i="14"/>
  <c r="J31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J2" i="14"/>
</calcChain>
</file>

<file path=xl/sharedStrings.xml><?xml version="1.0" encoding="utf-8"?>
<sst xmlns="http://schemas.openxmlformats.org/spreadsheetml/2006/main" count="2103" uniqueCount="64">
  <si>
    <t>Order ID</t>
  </si>
  <si>
    <t>Order Date</t>
  </si>
  <si>
    <t>Region</t>
  </si>
  <si>
    <t>Salesperson</t>
  </si>
  <si>
    <t>Product</t>
  </si>
  <si>
    <t>Category</t>
  </si>
  <si>
    <t>Units Sold</t>
  </si>
  <si>
    <t>Unit Price (£)</t>
  </si>
  <si>
    <t>Revenue (£)</t>
  </si>
  <si>
    <t>South East</t>
  </si>
  <si>
    <t>London</t>
  </si>
  <si>
    <t>Midlands</t>
  </si>
  <si>
    <t>Scotland</t>
  </si>
  <si>
    <t>North West</t>
  </si>
  <si>
    <t>Liam O'Connor</t>
  </si>
  <si>
    <t>Ahmed Khan</t>
  </si>
  <si>
    <t>Sophie Turner</t>
  </si>
  <si>
    <t>John Smith</t>
  </si>
  <si>
    <t>Emma Brown</t>
  </si>
  <si>
    <t>Headset</t>
  </si>
  <si>
    <t>Monitor</t>
  </si>
  <si>
    <t>Docking Station</t>
  </si>
  <si>
    <t>Keyboard</t>
  </si>
  <si>
    <t>Laptop</t>
  </si>
  <si>
    <t>Mouse</t>
  </si>
  <si>
    <t>Accessories</t>
  </si>
  <si>
    <t>Electronics</t>
  </si>
  <si>
    <t>Order Size</t>
  </si>
  <si>
    <t>Total Revenue</t>
  </si>
  <si>
    <t>Total Orders</t>
  </si>
  <si>
    <t>Average Order Value</t>
  </si>
  <si>
    <t>KPI</t>
  </si>
  <si>
    <t>Description</t>
  </si>
  <si>
    <t>Calculation</t>
  </si>
  <si>
    <t>Average value per order</t>
  </si>
  <si>
    <t>Total sales value</t>
  </si>
  <si>
    <t>Total number of transactions</t>
  </si>
  <si>
    <t>Row Labels</t>
  </si>
  <si>
    <t>(blank)</t>
  </si>
  <si>
    <t>Grand Total</t>
  </si>
  <si>
    <t>Count of Order ID</t>
  </si>
  <si>
    <t>2023</t>
  </si>
  <si>
    <t>2024</t>
  </si>
  <si>
    <t>Oct</t>
  </si>
  <si>
    <t>Nov</t>
  </si>
  <si>
    <t>Dec</t>
  </si>
  <si>
    <t>Jan</t>
  </si>
  <si>
    <t>Feb</t>
  </si>
  <si>
    <t>Mar</t>
  </si>
  <si>
    <t>Apr</t>
  </si>
  <si>
    <t>May</t>
  </si>
  <si>
    <t>Jun</t>
  </si>
  <si>
    <t>Jul</t>
  </si>
  <si>
    <t>Aug</t>
  </si>
  <si>
    <t>Sep</t>
  </si>
  <si>
    <t>Large</t>
  </si>
  <si>
    <t>medium</t>
  </si>
  <si>
    <t>small</t>
  </si>
  <si>
    <t>Count of Orders</t>
  </si>
  <si>
    <t>% of Orders</t>
  </si>
  <si>
    <t>% of Revenue</t>
  </si>
  <si>
    <t>Average of Revenue (AOV)</t>
  </si>
  <si>
    <t>% of Revennue</t>
  </si>
  <si>
    <t xml:space="preserve">Total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</si>
</sst>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6" formatCode="_-[$£-809]* #,##0_-;\-[$£-809]* #,##0_-;_-[$£-809]* &quot;-&quot;??_-;_-@_-"/>
    <numFmt numFmtId="169" formatCode="_-&quot;£&quot;* #,##0_-;\-&quot;£&quot;* #,##0_-;_-&quot;£&quot;* &quot;-&quot;??_-;_-@_-"/>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99FF6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166" fontId="1" fillId="0" borderId="1" xfId="0" applyNumberFormat="1" applyFont="1" applyBorder="1" applyAlignment="1">
      <alignment horizontal="center" vertical="top"/>
    </xf>
    <xf numFmtId="166" fontId="0" fillId="0" borderId="0" xfId="0" applyNumberFormat="1"/>
    <xf numFmtId="0" fontId="1" fillId="2" borderId="1" xfId="0" applyFont="1" applyFill="1" applyBorder="1"/>
    <xf numFmtId="0" fontId="1" fillId="0" borderId="1" xfId="0" applyFont="1" applyBorder="1"/>
    <xf numFmtId="0" fontId="0" fillId="0" borderId="1" xfId="0" applyBorder="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2" fillId="3" borderId="1" xfId="0" applyFont="1" applyFill="1" applyBorder="1" applyAlignment="1">
      <alignment horizontal="center"/>
    </xf>
    <xf numFmtId="166" fontId="2" fillId="4" borderId="1" xfId="0" applyNumberFormat="1" applyFont="1" applyFill="1" applyBorder="1" applyAlignment="1">
      <alignment horizontal="center"/>
    </xf>
    <xf numFmtId="0" fontId="0" fillId="0" borderId="0" xfId="0" applyAlignment="1">
      <alignment horizontal="left" indent="1"/>
    </xf>
    <xf numFmtId="0" fontId="0" fillId="0" borderId="0" xfId="0" applyNumberFormat="1"/>
    <xf numFmtId="10" fontId="1" fillId="0" borderId="0" xfId="0" applyNumberFormat="1" applyFont="1"/>
    <xf numFmtId="0" fontId="1" fillId="0" borderId="0" xfId="0" applyFont="1" applyAlignment="1">
      <alignment horizontal="left"/>
    </xf>
    <xf numFmtId="166" fontId="1" fillId="0" borderId="0" xfId="0" applyNumberFormat="1" applyFont="1"/>
    <xf numFmtId="166" fontId="1" fillId="0" borderId="1" xfId="0" applyNumberFormat="1" applyFont="1" applyBorder="1"/>
    <xf numFmtId="0" fontId="2" fillId="4" borderId="1" xfId="0" applyNumberFormat="1" applyFont="1" applyFill="1" applyBorder="1" applyAlignment="1">
      <alignment horizontal="center"/>
    </xf>
    <xf numFmtId="169" fontId="0" fillId="0" borderId="0" xfId="0" applyNumberFormat="1"/>
    <xf numFmtId="166" fontId="1" fillId="0" borderId="0" xfId="0" applyNumberFormat="1" applyFont="1" applyFill="1"/>
    <xf numFmtId="0" fontId="1" fillId="0" borderId="0" xfId="0" applyNumberFormat="1" applyFont="1" applyFill="1"/>
  </cellXfs>
  <cellStyles count="1">
    <cellStyle name="Normal" xfId="0" builtinId="0"/>
  </cellStyles>
  <dxfs count="228">
    <dxf>
      <numFmt numFmtId="0" formatCode="General"/>
    </dxf>
    <dxf>
      <numFmt numFmtId="166" formatCode="_-[$£-809]* #,##0_-;\-[$£-809]* #,##0_-;_-[$£-809]* &quot;-&quot;??_-;_-@_-"/>
    </dxf>
    <dxf>
      <font>
        <b/>
      </font>
    </dxf>
    <dxf>
      <font>
        <b/>
      </font>
    </dxf>
    <dxf>
      <fill>
        <patternFill patternType="none">
          <bgColor auto="1"/>
        </patternFill>
      </fill>
    </dxf>
    <dxf>
      <fill>
        <patternFill patternType="solid">
          <bgColor rgb="FFFFFF00"/>
        </patternFill>
      </fill>
    </dxf>
    <dxf>
      <fill>
        <patternFill patternType="none">
          <bgColor auto="1"/>
        </patternFill>
      </fill>
    </dxf>
    <dxf>
      <font>
        <b/>
      </font>
    </dxf>
    <dxf>
      <numFmt numFmtId="0" formatCode="General"/>
    </dxf>
    <dxf>
      <numFmt numFmtId="166" formatCode="_-[$£-809]* #,##0_-;\-[$£-809]* #,##0_-;_-[$£-809]* &quot;-&quot;??_-;_-@_-"/>
    </dxf>
    <dxf>
      <font>
        <b/>
      </font>
    </dxf>
    <dxf>
      <numFmt numFmtId="0" formatCode="General"/>
    </dxf>
    <dxf>
      <numFmt numFmtId="166" formatCode="_-[$£-809]* #,##0_-;\-[$£-809]* #,##0_-;_-[$£-809]* &quot;-&quot;??_-;_-@_-"/>
    </dxf>
    <dxf>
      <font>
        <b/>
      </font>
    </dxf>
    <dxf>
      <font>
        <b/>
      </font>
    </dxf>
    <dxf>
      <font>
        <b/>
      </font>
    </dxf>
    <dxf>
      <numFmt numFmtId="168" formatCode="_-&quot;£&quot;* #,##0.0_-;\-&quot;£&quot;* #,##0.0_-;_-&quot;£&quot;* &quot;-&quot;??_-;_-@_-"/>
    </dxf>
    <dxf>
      <numFmt numFmtId="169" formatCode="_-&quot;£&quot;* #,##0_-;\-&quot;£&quot;* #,##0_-;_-&quot;£&quot;* &quot;-&quot;??_-;_-@_-"/>
    </dxf>
    <dxf>
      <numFmt numFmtId="34" formatCode="_-&quot;£&quot;* #,##0.00_-;\-&quot;£&quot;* #,##0.00_-;_-&quot;£&quot;* &quot;-&quot;??_-;_-@_-"/>
    </dxf>
    <dxf>
      <numFmt numFmtId="168" formatCode="_-&quot;£&quot;* #,##0.0_-;\-&quot;£&quot;* #,##0.0_-;_-&quot;£&quot;* &quot;-&quot;??_-;_-@_-"/>
    </dxf>
    <dxf>
      <numFmt numFmtId="169" formatCode="_-&quot;£&quot;* #,##0_-;\-&quot;£&quot;* #,##0_-;_-&quot;£&quot;* &quot;-&quot;??_-;_-@_-"/>
    </dxf>
    <dxf>
      <numFmt numFmtId="34" formatCode="_-&quot;£&quot;* #,##0.00_-;\-&quot;£&quot;* #,##0.00_-;_-&quot;£&quot;* &quot;-&quot;??_-;_-@_-"/>
    </dxf>
    <dxf>
      <numFmt numFmtId="166" formatCode="_-[$£-809]* #,##0_-;\-[$£-809]* #,##0_-;_-[$£-809]* &quot;-&quot;??_-;_-@_-"/>
    </dxf>
    <dxf>
      <numFmt numFmtId="166" formatCode="_-[$£-809]* #,##0_-;\-[$£-809]* #,##0_-;_-[$£-809]* &quot;-&quot;??_-;_-@_-"/>
    </dxf>
    <dxf>
      <numFmt numFmtId="14" formatCode="0.00%"/>
    </dxf>
    <dxf>
      <font>
        <b/>
      </font>
    </dxf>
    <dxf>
      <font>
        <b/>
      </font>
    </dxf>
    <dxf>
      <font>
        <b/>
      </font>
    </dxf>
    <dxf>
      <numFmt numFmtId="168" formatCode="_-&quot;£&quot;* #,##0.0_-;\-&quot;£&quot;* #,##0.0_-;_-&quot;£&quot;* &quot;-&quot;??_-;_-@_-"/>
    </dxf>
    <dxf>
      <numFmt numFmtId="169" formatCode="_-&quot;£&quot;* #,##0_-;\-&quot;£&quot;* #,##0_-;_-&quot;£&quot;* &quot;-&quot;??_-;_-@_-"/>
    </dxf>
    <dxf>
      <numFmt numFmtId="34" formatCode="_-&quot;£&quot;* #,##0.00_-;\-&quot;£&quot;* #,##0.00_-;_-&quot;£&quot;* &quot;-&quot;??_-;_-@_-"/>
    </dxf>
    <dxf>
      <numFmt numFmtId="165" formatCode="_-[$£-809]* #,##0.0_-;\-[$£-809]* #,##0.0_-;_-[$£-809]* &quot;-&quot;??_-;_-@_-"/>
    </dxf>
    <dxf>
      <numFmt numFmtId="166" formatCode="_-[$£-809]* #,##0_-;\-[$£-809]* #,##0_-;_-[$£-809]* &quot;-&quot;??_-;_-@_-"/>
    </dxf>
    <dxf>
      <numFmt numFmtId="167" formatCode="_-[$£-809]* #,##0.00_-;\-[$£-809]* #,##0.0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font>
        <b/>
      </font>
    </dxf>
    <dxf>
      <font>
        <b/>
      </font>
    </dxf>
    <dxf>
      <font>
        <b/>
      </font>
    </dxf>
    <dxf>
      <numFmt numFmtId="166" formatCode="_-[$£-809]* #,##0_-;\-[$£-809]* #,##0_-;_-[$£-809]* &quot;-&quot;??_-;_-@_-"/>
    </dxf>
    <dxf>
      <alignment horizontal="center"/>
    </dxf>
    <dxf>
      <alignment horizontal="center"/>
    </dxf>
    <dxf>
      <alignment horizontal="center"/>
    </dxf>
    <dxf>
      <numFmt numFmtId="0" formatCode="General"/>
    </dxf>
    <dxf>
      <fill>
        <patternFill patternType="solid">
          <bgColor theme="0" tint="-0.249977111117893"/>
        </patternFill>
      </fill>
    </dxf>
    <dxf>
      <fill>
        <patternFill patternType="solid">
          <bgColor rgb="FF99FF6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12"/>
      </font>
    </dxf>
    <dxf>
      <font>
        <sz val="12"/>
      </font>
    </dxf>
    <dxf>
      <font>
        <sz val="12"/>
      </font>
    </dxf>
    <dxf>
      <font>
        <b/>
      </font>
    </dxf>
    <dxf>
      <font>
        <b/>
      </font>
    </dxf>
    <dxf>
      <font>
        <b/>
      </font>
    </dxf>
    <dxf>
      <numFmt numFmtId="166" formatCode="_-[$£-809]* #,##0_-;\-[$£-809]* #,##0_-;_-[$£-809]* &quot;-&quot;??_-;_-@_-"/>
    </dxf>
    <dxf>
      <alignment horizontal="center"/>
    </dxf>
    <dxf>
      <alignment horizontal="center"/>
    </dxf>
    <dxf>
      <alignment horizontal="center"/>
    </dxf>
    <dxf>
      <numFmt numFmtId="0" formatCode="General"/>
    </dxf>
    <dxf>
      <fill>
        <patternFill patternType="solid">
          <bgColor theme="0" tint="-0.249977111117893"/>
        </patternFill>
      </fill>
    </dxf>
    <dxf>
      <fill>
        <patternFill patternType="solid">
          <bgColor rgb="FF99FF6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12"/>
      </font>
    </dxf>
    <dxf>
      <font>
        <sz val="12"/>
      </font>
    </dxf>
    <dxf>
      <font>
        <sz val="12"/>
      </font>
    </dxf>
    <dxf>
      <numFmt numFmtId="166" formatCode="_-[$£-809]* #,##0_-;\-[$£-809]* #,##0_-;_-[$£-809]* &quot;-&quot;??_-;_-@_-"/>
    </dxf>
    <dxf>
      <numFmt numFmtId="14" formatCode="0.00%"/>
    </dxf>
    <dxf>
      <font>
        <b/>
      </font>
    </dxf>
    <dxf>
      <numFmt numFmtId="14" formatCode="0.00%"/>
    </dxf>
    <dxf>
      <numFmt numFmtId="166" formatCode="_-[$£-809]* #,##0_-;\-[$£-809]* #,##0_-;_-[$£-809]* &quot;-&quot;??_-;_-@_-"/>
    </dxf>
    <dxf>
      <numFmt numFmtId="14" formatCode="0.00%"/>
    </dxf>
    <dxf>
      <font>
        <b/>
      </font>
    </dxf>
    <dxf>
      <numFmt numFmtId="14" formatCode="0.00%"/>
    </dxf>
    <dxf>
      <numFmt numFmtId="0" formatCode="General"/>
    </dxf>
    <dxf>
      <numFmt numFmtId="14" formatCode="0.00%"/>
    </dxf>
    <dxf>
      <numFmt numFmtId="166" formatCode="_-[$£-809]* #,##0_-;\-[$£-809]* #,##0_-;_-[$£-809]* &quot;-&quot;??_-;_-@_-"/>
    </dxf>
    <dxf>
      <numFmt numFmtId="14" formatCode="0.00%"/>
    </dxf>
    <dxf>
      <font>
        <b/>
      </font>
    </dxf>
    <dxf>
      <numFmt numFmtId="0" formatCode="General"/>
    </dxf>
    <dxf>
      <numFmt numFmtId="166" formatCode="_-[$£-809]* #,##0_-;\-[$£-809]* #,##0_-;_-[$£-809]* &quot;-&quot;??_-;_-@_-"/>
    </dxf>
    <dxf>
      <numFmt numFmtId="14" formatCode="0.00%"/>
    </dxf>
    <dxf>
      <font>
        <b/>
      </font>
    </dxf>
    <dxf>
      <numFmt numFmtId="0" formatCode="General"/>
    </dxf>
    <dxf>
      <numFmt numFmtId="14" formatCode="0.00%"/>
    </dxf>
    <dxf>
      <numFmt numFmtId="166" formatCode="_-[$£-809]* #,##0_-;\-[$£-809]* #,##0_-;_-[$£-809]* &quot;-&quot;??_-;_-@_-"/>
    </dxf>
    <dxf>
      <numFmt numFmtId="14" formatCode="0.00%"/>
    </dxf>
    <dxf>
      <font>
        <b/>
      </font>
    </dxf>
    <dxf>
      <numFmt numFmtId="14" formatCode="0.00%"/>
    </dxf>
    <dxf>
      <numFmt numFmtId="166" formatCode="_-[$£-809]* #,##0_-;\-[$£-809]* #,##0_-;_-[$£-809]* &quot;-&quot;??_-;_-@_-"/>
    </dxf>
    <dxf>
      <numFmt numFmtId="14" formatCode="0.00%"/>
    </dxf>
    <dxf>
      <font>
        <b/>
      </font>
    </dxf>
    <dxf>
      <numFmt numFmtId="14" formatCode="0.00%"/>
    </dxf>
    <dxf>
      <numFmt numFmtId="166" formatCode="_-[$£-809]* #,##0_-;\-[$£-809]* #,##0_-;_-[$£-809]* &quot;-&quot;??_-;_-@_-"/>
    </dxf>
    <dxf>
      <numFmt numFmtId="14" formatCode="0.00%"/>
    </dxf>
    <dxf>
      <font>
        <b/>
      </font>
    </dxf>
    <dxf>
      <numFmt numFmtId="166" formatCode="_-[$£-809]* #,##0_-;\-[$£-809]* #,##0_-;_-[$£-809]* &quot;-&quot;??_-;_-@_-"/>
    </dxf>
    <dxf>
      <numFmt numFmtId="14" formatCode="0.00%"/>
    </dxf>
    <dxf>
      <font>
        <b/>
      </font>
    </dxf>
    <dxf>
      <numFmt numFmtId="166" formatCode="_-[$£-809]* #,##0_-;\-[$£-809]* #,##0_-;_-[$£-809]* &quot;-&quot;??_-;_-@_-"/>
    </dxf>
    <dxf>
      <numFmt numFmtId="14" formatCode="0.00%"/>
    </dxf>
    <dxf>
      <font>
        <b/>
      </font>
    </dxf>
    <dxf>
      <numFmt numFmtId="166" formatCode="_-[$£-809]* #,##0_-;\-[$£-809]* #,##0_-;_-[$£-809]* &quot;-&quot;??_-;_-@_-"/>
    </dxf>
    <dxf>
      <numFmt numFmtId="14" formatCode="0.00%"/>
    </dxf>
    <dxf>
      <font>
        <b/>
      </font>
    </dxf>
    <dxf>
      <numFmt numFmtId="166" formatCode="_-[$£-809]* #,##0_-;\-[$£-809]* #,##0_-;_-[$£-809]* &quot;-&quot;??_-;_-@_-"/>
    </dxf>
    <dxf>
      <numFmt numFmtId="14" formatCode="0.00%"/>
    </dxf>
    <dxf>
      <font>
        <b/>
      </font>
    </dxf>
    <dxf>
      <numFmt numFmtId="166" formatCode="_-[$£-809]* #,##0_-;\-[$£-809]* #,##0_-;_-[$£-809]* &quot;-&quot;??_-;_-@_-"/>
    </dxf>
    <dxf>
      <numFmt numFmtId="14" formatCode="0.00%"/>
    </dxf>
    <dxf>
      <font>
        <b/>
      </font>
    </dxf>
    <dxf>
      <numFmt numFmtId="166" formatCode="_-[$£-809]* #,##0_-;\-[$£-809]* #,##0_-;_-[$£-809]* &quot;-&quot;??_-;_-@_-"/>
    </dxf>
    <dxf>
      <numFmt numFmtId="14" formatCode="0.00%"/>
    </dxf>
    <dxf>
      <font>
        <b/>
      </font>
    </dxf>
    <dxf>
      <font>
        <b/>
      </font>
    </dxf>
    <dxf>
      <font>
        <b/>
      </font>
    </dxf>
    <dxf>
      <numFmt numFmtId="14" formatCode="0.00%"/>
    </dxf>
    <dxf>
      <numFmt numFmtId="166" formatCode="_-[$£-809]* #,##0_-;\-[$£-809]* #,##0_-;_-[$£-809]* &quot;-&quot;??_-;_-@_-"/>
    </dxf>
    <dxf>
      <numFmt numFmtId="165" formatCode="_-[$£-809]* #,##0.0_-;\-[$£-809]* #,##0.0_-;_-[$£-809]* &quot;-&quot;??_-;_-@_-"/>
    </dxf>
    <dxf>
      <numFmt numFmtId="166" formatCode="_-[$£-809]* #,##0_-;\-[$£-809]* #,##0_-;_-[$£-809]* &quot;-&quot;??_-;_-@_-"/>
    </dxf>
    <dxf>
      <font>
        <sz val="12"/>
      </font>
    </dxf>
    <dxf>
      <font>
        <sz val="12"/>
      </font>
    </dxf>
    <dxf>
      <font>
        <sz val="12"/>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9FF66"/>
        </patternFill>
      </fill>
    </dxf>
    <dxf>
      <fill>
        <patternFill patternType="solid">
          <bgColor theme="0" tint="-0.249977111117893"/>
        </patternFill>
      </fill>
    </dxf>
    <dxf>
      <numFmt numFmtId="0" formatCode="General"/>
    </dxf>
    <dxf>
      <alignment horizontal="center"/>
    </dxf>
    <dxf>
      <alignment horizontal="center"/>
    </dxf>
    <dxf>
      <alignment horizontal="center"/>
    </dxf>
    <dxf>
      <numFmt numFmtId="166" formatCode="_-[$£-809]* #,##0_-;\-[$£-809]* #,##0_-;_-[$£-809]* &quot;-&quot;??_-;_-@_-"/>
    </dxf>
    <dxf>
      <font>
        <b/>
      </font>
    </dxf>
    <dxf>
      <font>
        <b/>
      </font>
    </dxf>
    <dxf>
      <font>
        <b/>
      </font>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66" formatCode="_-[$£-809]* #,##0_-;\-[$£-809]* #,##0_-;_-[$£-809]* &quot;-&quot;??_-;_-@_-"/>
    </dxf>
    <dxf>
      <numFmt numFmtId="14" formatCode="0.00%"/>
    </dxf>
    <dxf>
      <numFmt numFmtId="166" formatCode="_-[$£-809]* #,##0_-;\-[$£-809]* #,##0_-;_-[$£-809]* &quot;-&quot;??_-;_-@_-"/>
    </dxf>
    <dxf>
      <numFmt numFmtId="166" formatCode="_-[$£-809]* #,##0_-;\-[$£-809]* #,##0_-;_-[$£-809]* &quot;-&quot;??_-;_-@_-"/>
    </dxf>
    <dxf>
      <numFmt numFmtId="166" formatCode="_-[$£-809]* #,##0_-;\-[$£-809]* #,##0_-;_-[$£-809]* &quot;-&quot;??_-;_-@_-"/>
    </dxf>
    <dxf>
      <numFmt numFmtId="0" formatCode="General"/>
    </dxf>
    <dxf>
      <numFmt numFmtId="0" formatCode="General"/>
    </dxf>
    <dxf>
      <numFmt numFmtId="166" formatCode="_-[$£-809]* #,##0_-;\-[$£-809]* #,##0_-;_-[$£-809]* &quot;-&quot;??_-;_-@_-"/>
    </dxf>
    <dxf>
      <numFmt numFmtId="166" formatCode="_-[$£-809]* #,##0_-;\-[$£-809]* #,##0_-;_-[$£-809]* &quot;-&quot;??_-;_-@_-"/>
    </dxf>
    <dxf>
      <numFmt numFmtId="164" formatCode="yyyy\-mm\-dd\ hh:mm:ss"/>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9FF66"/>
      <color rgb="FF3BE5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[Project1_Sales_Performance_Dashboard.xlsx]Revenue_by_Region!PivotTable3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DA0640-CE2F-4524-9162-884FFF7CE560}"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6BEA7B-BAE6-45ED-89EB-0678DC1C88D4}"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155CD3-6E36-4F4D-8053-A4D2332D9FC2}"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7B7EF2-6DBB-4780-87E8-CC2BFB5D3EB8}"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0FA70C-D037-4308-BE37-3F511A696058}"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Revenue_by_Region!$B$3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9136-41A4-924B-FE1F0FD38D10}"/>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36-41A4-924B-FE1F0FD38D10}"/>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136-41A4-924B-FE1F0FD38D10}"/>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36-41A4-924B-FE1F0FD38D10}"/>
              </c:ext>
            </c:extLst>
          </c:dPt>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136-41A4-924B-FE1F0FD38D10}"/>
              </c:ext>
            </c:extLst>
          </c:dPt>
          <c:dLbls>
            <c:dLbl>
              <c:idx val="0"/>
              <c:tx>
                <c:rich>
                  <a:bodyPr/>
                  <a:lstStyle/>
                  <a:p>
                    <a:fld id="{710FA70C-D037-4308-BE37-3F511A696058}"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136-41A4-924B-FE1F0FD38D10}"/>
                </c:ext>
              </c:extLst>
            </c:dLbl>
            <c:dLbl>
              <c:idx val="1"/>
              <c:tx>
                <c:rich>
                  <a:bodyPr/>
                  <a:lstStyle/>
                  <a:p>
                    <a:fld id="{C17B7EF2-6DBB-4780-87E8-CC2BFB5D3EB8}"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136-41A4-924B-FE1F0FD38D10}"/>
                </c:ext>
              </c:extLst>
            </c:dLbl>
            <c:dLbl>
              <c:idx val="2"/>
              <c:tx>
                <c:rich>
                  <a:bodyPr/>
                  <a:lstStyle/>
                  <a:p>
                    <a:fld id="{28155CD3-6E36-4F4D-8053-A4D2332D9FC2}"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136-41A4-924B-FE1F0FD38D10}"/>
                </c:ext>
              </c:extLst>
            </c:dLbl>
            <c:dLbl>
              <c:idx val="3"/>
              <c:tx>
                <c:rich>
                  <a:bodyPr/>
                  <a:lstStyle/>
                  <a:p>
                    <a:fld id="{636BEA7B-BAE6-45ED-89EB-0678DC1C88D4}"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136-41A4-924B-FE1F0FD38D10}"/>
                </c:ext>
              </c:extLst>
            </c:dLbl>
            <c:dLbl>
              <c:idx val="4"/>
              <c:tx>
                <c:rich>
                  <a:bodyPr/>
                  <a:lstStyle/>
                  <a:p>
                    <a:fld id="{B4DA0640-CE2F-4524-9162-884FFF7CE560}"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136-41A4-924B-FE1F0FD38D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Revenue_by_Region!$A$4:$A$9</c:f>
              <c:strCache>
                <c:ptCount val="5"/>
                <c:pt idx="0">
                  <c:v>London</c:v>
                </c:pt>
                <c:pt idx="1">
                  <c:v>Scotland</c:v>
                </c:pt>
                <c:pt idx="2">
                  <c:v>South East</c:v>
                </c:pt>
                <c:pt idx="3">
                  <c:v>North West</c:v>
                </c:pt>
                <c:pt idx="4">
                  <c:v>Midlands</c:v>
                </c:pt>
              </c:strCache>
            </c:strRef>
          </c:cat>
          <c:val>
            <c:numRef>
              <c:f>Revenue_by_Region!$B$4:$B$9</c:f>
              <c:numCache>
                <c:formatCode>_-[$£-809]* #,##0_-;\-[$£-809]* #,##0_-;_-[$£-809]* "-"??_-;_-@_-</c:formatCode>
                <c:ptCount val="5"/>
                <c:pt idx="0">
                  <c:v>207455</c:v>
                </c:pt>
                <c:pt idx="1">
                  <c:v>196985</c:v>
                </c:pt>
                <c:pt idx="2">
                  <c:v>193685</c:v>
                </c:pt>
                <c:pt idx="3">
                  <c:v>162715</c:v>
                </c:pt>
                <c:pt idx="4">
                  <c:v>140675</c:v>
                </c:pt>
              </c:numCache>
            </c:numRef>
          </c:val>
          <c:extLst>
            <c:ext xmlns:c16="http://schemas.microsoft.com/office/drawing/2014/chart" uri="{C3380CC4-5D6E-409C-BE32-E72D297353CC}">
              <c16:uniqueId val="{00000000-E5B0-4474-9B94-A8795F2C714C}"/>
            </c:ext>
          </c:extLst>
        </c:ser>
        <c:dLbls>
          <c:dLblPos val="outEnd"/>
          <c:showLegendKey val="0"/>
          <c:showVal val="1"/>
          <c:showCatName val="0"/>
          <c:showSerName val="0"/>
          <c:showPercent val="0"/>
          <c:showBubbleSize val="0"/>
        </c:dLbls>
        <c:gapWidth val="100"/>
        <c:overlap val="-24"/>
        <c:axId val="1630701743"/>
        <c:axId val="1630703183"/>
      </c:barChart>
      <c:catAx>
        <c:axId val="1630701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703183"/>
        <c:crosses val="autoZero"/>
        <c:auto val="1"/>
        <c:lblAlgn val="ctr"/>
        <c:lblOffset val="100"/>
        <c:noMultiLvlLbl val="0"/>
      </c:catAx>
      <c:valAx>
        <c:axId val="1630703183"/>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70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[Project1_Sales_Performance_Dashboard.xlsx]Revenue_by_Product!PivotTable3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B805F9-D854-4E9A-A2FC-7F5444A38D02}"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93DF12-924E-4A16-B51B-8C1501E9B4DB}"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892B3E-89B8-44F3-B313-75414FB39889}"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F6DA29-4769-4B4F-BA21-9A70D3675E3A}"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D3B320-2ECA-4A29-A99B-7863C6D55211}"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41E2FF-292C-4CF5-AD1F-B32A7CF8516C}"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Revenue_by_Product!$B$3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606-4F86-A630-3FD7B0BE902C}"/>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606-4F86-A630-3FD7B0BE902C}"/>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606-4F86-A630-3FD7B0BE902C}"/>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606-4F86-A630-3FD7B0BE902C}"/>
              </c:ext>
            </c:extLst>
          </c:dPt>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606-4F86-A630-3FD7B0BE902C}"/>
              </c:ext>
            </c:extLst>
          </c:dPt>
          <c:dPt>
            <c:idx val="5"/>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606-4F86-A630-3FD7B0BE902C}"/>
              </c:ext>
            </c:extLst>
          </c:dPt>
          <c:dLbls>
            <c:dLbl>
              <c:idx val="0"/>
              <c:tx>
                <c:rich>
                  <a:bodyPr/>
                  <a:lstStyle/>
                  <a:p>
                    <a:fld id="{FDB805F9-D854-4E9A-A2FC-7F5444A38D02}"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606-4F86-A630-3FD7B0BE902C}"/>
                </c:ext>
              </c:extLst>
            </c:dLbl>
            <c:dLbl>
              <c:idx val="1"/>
              <c:tx>
                <c:rich>
                  <a:bodyPr/>
                  <a:lstStyle/>
                  <a:p>
                    <a:fld id="{E493DF12-924E-4A16-B51B-8C1501E9B4DB}"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606-4F86-A630-3FD7B0BE902C}"/>
                </c:ext>
              </c:extLst>
            </c:dLbl>
            <c:dLbl>
              <c:idx val="2"/>
              <c:tx>
                <c:rich>
                  <a:bodyPr/>
                  <a:lstStyle/>
                  <a:p>
                    <a:fld id="{AD892B3E-89B8-44F3-B313-75414FB39889}"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606-4F86-A630-3FD7B0BE902C}"/>
                </c:ext>
              </c:extLst>
            </c:dLbl>
            <c:dLbl>
              <c:idx val="3"/>
              <c:tx>
                <c:rich>
                  <a:bodyPr/>
                  <a:lstStyle/>
                  <a:p>
                    <a:fld id="{B2F6DA29-4769-4B4F-BA21-9A70D3675E3A}"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606-4F86-A630-3FD7B0BE902C}"/>
                </c:ext>
              </c:extLst>
            </c:dLbl>
            <c:dLbl>
              <c:idx val="4"/>
              <c:tx>
                <c:rich>
                  <a:bodyPr/>
                  <a:lstStyle/>
                  <a:p>
                    <a:fld id="{FFD3B320-2ECA-4A29-A99B-7863C6D55211}"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606-4F86-A630-3FD7B0BE902C}"/>
                </c:ext>
              </c:extLst>
            </c:dLbl>
            <c:dLbl>
              <c:idx val="5"/>
              <c:tx>
                <c:rich>
                  <a:bodyPr/>
                  <a:lstStyle/>
                  <a:p>
                    <a:fld id="{1241E2FF-292C-4CF5-AD1F-B32A7CF8516C}" type="VALUE">
                      <a:rPr lang="en-US" b="1"/>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606-4F86-A630-3FD7B0BE90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Revenue_by_Product!$A$4:$A$10</c:f>
              <c:strCache>
                <c:ptCount val="6"/>
                <c:pt idx="0">
                  <c:v>Laptop</c:v>
                </c:pt>
                <c:pt idx="1">
                  <c:v>Monitor</c:v>
                </c:pt>
                <c:pt idx="2">
                  <c:v>Docking Station</c:v>
                </c:pt>
                <c:pt idx="3">
                  <c:v>Headset</c:v>
                </c:pt>
                <c:pt idx="4">
                  <c:v>Keyboard</c:v>
                </c:pt>
                <c:pt idx="5">
                  <c:v>Mouse</c:v>
                </c:pt>
              </c:strCache>
            </c:strRef>
          </c:cat>
          <c:val>
            <c:numRef>
              <c:f>Revenue_by_Product!$B$4:$B$10</c:f>
              <c:numCache>
                <c:formatCode>_-[$£-809]* #,##0_-;\-[$£-809]* #,##0_-;_-[$£-809]* "-"??_-;_-@_-</c:formatCode>
                <c:ptCount val="6"/>
                <c:pt idx="0">
                  <c:v>562700</c:v>
                </c:pt>
                <c:pt idx="1">
                  <c:v>148720</c:v>
                </c:pt>
                <c:pt idx="2">
                  <c:v>104760</c:v>
                </c:pt>
                <c:pt idx="3">
                  <c:v>42225</c:v>
                </c:pt>
                <c:pt idx="4">
                  <c:v>26460</c:v>
                </c:pt>
                <c:pt idx="5">
                  <c:v>16650</c:v>
                </c:pt>
              </c:numCache>
            </c:numRef>
          </c:val>
          <c:extLst>
            <c:ext xmlns:c16="http://schemas.microsoft.com/office/drawing/2014/chart" uri="{C3380CC4-5D6E-409C-BE32-E72D297353CC}">
              <c16:uniqueId val="{00000000-3606-4F86-A630-3FD7B0BE902C}"/>
            </c:ext>
          </c:extLst>
        </c:ser>
        <c:dLbls>
          <c:dLblPos val="outEnd"/>
          <c:showLegendKey val="0"/>
          <c:showVal val="1"/>
          <c:showCatName val="0"/>
          <c:showSerName val="0"/>
          <c:showPercent val="0"/>
          <c:showBubbleSize val="0"/>
        </c:dLbls>
        <c:gapWidth val="100"/>
        <c:overlap val="-24"/>
        <c:axId val="374079600"/>
        <c:axId val="374075760"/>
      </c:barChart>
      <c:catAx>
        <c:axId val="374079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75760"/>
        <c:crosses val="autoZero"/>
        <c:auto val="1"/>
        <c:lblAlgn val="ctr"/>
        <c:lblOffset val="100"/>
        <c:noMultiLvlLbl val="0"/>
      </c:catAx>
      <c:valAx>
        <c:axId val="374075760"/>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7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[Project1_Sales_Performance_Dashboard.xlsx]Monthly_Revenue_Trend!PivotTable1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Monthly_Revenue_Trend!$B$3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Monthly_Revenue_Trend!$A$4:$A$24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2023</c:v>
                  </c:pt>
                  <c:pt idx="12">
                    <c:v>2024</c:v>
                  </c:pt>
                </c:lvl>
              </c:multiLvlStrCache>
            </c:multiLvlStrRef>
          </c:cat>
          <c:val>
            <c:numRef>
              <c:f>Monthly_Revenue_Trend!$B$4:$B$24</c:f>
              <c:numCache>
                <c:formatCode>_-[$£-809]* #,##0_-;\-[$£-809]* #,##0_-;_-[$£-809]* "-"??_-;_-@_-</c:formatCode>
                <c:ptCount val="18"/>
                <c:pt idx="0">
                  <c:v>56955</c:v>
                </c:pt>
                <c:pt idx="1">
                  <c:v>73810</c:v>
                </c:pt>
                <c:pt idx="2">
                  <c:v>24365</c:v>
                </c:pt>
                <c:pt idx="3">
                  <c:v>65095</c:v>
                </c:pt>
                <c:pt idx="4">
                  <c:v>49635</c:v>
                </c:pt>
                <c:pt idx="5">
                  <c:v>63695</c:v>
                </c:pt>
                <c:pt idx="6">
                  <c:v>39555</c:v>
                </c:pt>
                <c:pt idx="7">
                  <c:v>78090</c:v>
                </c:pt>
                <c:pt idx="8">
                  <c:v>55735</c:v>
                </c:pt>
                <c:pt idx="9">
                  <c:v>20245</c:v>
                </c:pt>
                <c:pt idx="10">
                  <c:v>20210</c:v>
                </c:pt>
                <c:pt idx="11">
                  <c:v>46830</c:v>
                </c:pt>
                <c:pt idx="12">
                  <c:v>67990</c:v>
                </c:pt>
                <c:pt idx="13">
                  <c:v>61270</c:v>
                </c:pt>
                <c:pt idx="14">
                  <c:v>44790</c:v>
                </c:pt>
                <c:pt idx="15">
                  <c:v>38690</c:v>
                </c:pt>
                <c:pt idx="16">
                  <c:v>74420</c:v>
                </c:pt>
                <c:pt idx="17">
                  <c:v>20135</c:v>
                </c:pt>
              </c:numCache>
            </c:numRef>
          </c:val>
          <c:smooth val="0"/>
          <c:extLst>
            <c:ext xmlns:c16="http://schemas.microsoft.com/office/drawing/2014/chart" uri="{C3380CC4-5D6E-409C-BE32-E72D297353CC}">
              <c16:uniqueId val="{00000000-D895-494B-830F-BFDAEF202112}"/>
            </c:ext>
          </c:extLst>
        </c:ser>
        <c:dLbls>
          <c:dLblPos val="t"/>
          <c:showLegendKey val="0"/>
          <c:showVal val="1"/>
          <c:showCatName val="0"/>
          <c:showSerName val="0"/>
          <c:showPercent val="0"/>
          <c:showBubbleSize val="0"/>
        </c:dLbls>
        <c:marker val="1"/>
        <c:smooth val="0"/>
        <c:axId val="1663128992"/>
        <c:axId val="1663121312"/>
      </c:lineChart>
      <c:catAx>
        <c:axId val="166312899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121312"/>
        <c:crosses val="autoZero"/>
        <c:auto val="1"/>
        <c:lblAlgn val="ctr"/>
        <c:lblOffset val="100"/>
        <c:noMultiLvlLbl val="0"/>
      </c:catAx>
      <c:valAx>
        <c:axId val="1663121312"/>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12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99060</xdr:colOff>
      <xdr:row>5</xdr:row>
      <xdr:rowOff>3810</xdr:rowOff>
    </xdr:from>
    <xdr:to>
      <xdr:col>4</xdr:col>
      <xdr:colOff>259080</xdr:colOff>
      <xdr:row>21</xdr:row>
      <xdr:rowOff>167640</xdr:rowOff>
    </xdr:to>
    <xdr:graphicFrame macro="">
      <xdr:nvGraphicFramePr>
        <xdr:cNvPr id="2" name="Chart 3">
          <a:extLst>
            <a:ext uri="{FF2B5EF4-FFF2-40B4-BE49-F238E27FC236}">
              <a16:creationId xmlns:a16="http://schemas.microsoft.com/office/drawing/2014/main" id="{612E92F9-505E-53AC-2EB5-EB7DB9A0E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350520</xdr:colOff>
      <xdr:row>5</xdr:row>
      <xdr:rowOff>0</xdr:rowOff>
    </xdr:from>
    <xdr:to>
      <xdr:col>12</xdr:col>
      <xdr:colOff>403860</xdr:colOff>
      <xdr:row>21</xdr:row>
      <xdr:rowOff>175260</xdr:rowOff>
    </xdr:to>
    <xdr:graphicFrame macro="">
      <xdr:nvGraphicFramePr>
        <xdr:cNvPr id="3" name="Chart 1">
          <a:extLst>
            <a:ext uri="{FF2B5EF4-FFF2-40B4-BE49-F238E27FC236}">
              <a16:creationId xmlns:a16="http://schemas.microsoft.com/office/drawing/2014/main" id="{A253BC37-3A36-BBB7-1E1A-692005712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22</xdr:row>
      <xdr:rowOff>121920</xdr:rowOff>
    </xdr:from>
    <xdr:to>
      <xdr:col>12</xdr:col>
      <xdr:colOff>396240</xdr:colOff>
      <xdr:row>44</xdr:row>
      <xdr:rowOff>167640</xdr:rowOff>
    </xdr:to>
    <xdr:graphicFrame macro="">
      <xdr:nvGraphicFramePr>
        <xdr:cNvPr id="5" name="Chart 1">
          <a:extLst>
            <a:ext uri="{FF2B5EF4-FFF2-40B4-BE49-F238E27FC236}">
              <a16:creationId xmlns:a16="http://schemas.microsoft.com/office/drawing/2014/main" id="{EF03585A-0B19-353A-699B-1AEF2F9D9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22860</xdr:colOff>
      <xdr:row>5</xdr:row>
      <xdr:rowOff>7620</xdr:rowOff>
    </xdr:from>
    <xdr:to>
      <xdr:col>17</xdr:col>
      <xdr:colOff>22860</xdr:colOff>
      <xdr:row>18</xdr:row>
      <xdr:rowOff>97155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E8C7367-BF51-4507-A0D2-D06AD2E3E9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09885" y="950595"/>
              <a:ext cx="1828800" cy="24422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171450</xdr:colOff>
      <xdr:row>5</xdr:row>
      <xdr:rowOff>0</xdr:rowOff>
    </xdr:from>
    <xdr:to>
      <xdr:col>20</xdr:col>
      <xdr:colOff>171450</xdr:colOff>
      <xdr:row>18</xdr:row>
      <xdr:rowOff>114300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20A6D15B-0EE8-4593-A823-D551FE8277A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487275" y="942975"/>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180975</xdr:colOff>
      <xdr:row>19</xdr:row>
      <xdr:rowOff>104775</xdr:rowOff>
    </xdr:from>
    <xdr:to>
      <xdr:col>20</xdr:col>
      <xdr:colOff>180975</xdr:colOff>
      <xdr:row>33</xdr:row>
      <xdr:rowOff>38100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A0DF89C-E718-4EF6-AB2F-BB6A37193C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96800" y="35814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19</xdr:row>
      <xdr:rowOff>104775</xdr:rowOff>
    </xdr:from>
    <xdr:to>
      <xdr:col>17</xdr:col>
      <xdr:colOff>38100</xdr:colOff>
      <xdr:row>33</xdr:row>
      <xdr:rowOff>38100</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670A5466-9257-4A76-979E-5AA65AE815F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525125" y="35814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les_Performance_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34676" refreshedDate="46027.556421875001" createdVersion="8" refreshedVersion="8" minRefreshableVersion="3" recordCount="501" xr:uid="{DEB74A87-2F50-49FE-AC9A-66E6278A1268}">
  <cacheSource type="worksheet">
    <worksheetSource ref="A1:K1048576" sheet="Raw_Data" r:id="rId2"/>
  </cacheSource>
  <cacheFields count="11">
    <cacheField name="Order ID" numFmtId="0">
      <sharedItems containsString="0" containsBlank="1" containsNumber="1" containsInteger="1" minValue="10001" maxValue="10500"/>
    </cacheField>
    <cacheField name="Order Date" numFmtId="0">
      <sharedItems containsNonDate="0" containsDate="1" containsString="0" containsBlank="1" minDate="2023-01-01T00:00:00" maxDate="2024-07-01T00:00:00"/>
    </cacheField>
    <cacheField name="Region" numFmtId="0">
      <sharedItems containsBlank="1" count="6">
        <s v="South East"/>
        <s v="London"/>
        <s v="Midlands"/>
        <s v="Scotland"/>
        <s v="North West"/>
        <m/>
      </sharedItems>
    </cacheField>
    <cacheField name="Salesperson" numFmtId="0">
      <sharedItems containsBlank="1" count="6">
        <s v="Liam O'Connor"/>
        <s v="Ahmed Khan"/>
        <s v="Sophie Turner"/>
        <s v="John Smith"/>
        <s v="Emma Brown"/>
        <m/>
      </sharedItems>
    </cacheField>
    <cacheField name="Product" numFmtId="0">
      <sharedItems containsBlank="1" count="7">
        <s v="Headset"/>
        <s v="Monitor"/>
        <s v="Docking Station"/>
        <s v="Keyboard"/>
        <s v="Laptop"/>
        <s v="Mouse"/>
        <m/>
      </sharedItems>
    </cacheField>
    <cacheField name="Category" numFmtId="0">
      <sharedItems containsBlank="1" count="3">
        <s v="Accessories"/>
        <s v="Electronics"/>
        <m/>
      </sharedItems>
    </cacheField>
    <cacheField name="Units Sold" numFmtId="0">
      <sharedItems containsString="0" containsBlank="1" containsNumber="1" containsInteger="1" minValue="1" maxValue="14"/>
    </cacheField>
    <cacheField name="Unit Price (£)" numFmtId="166">
      <sharedItems containsString="0" containsBlank="1" containsNumber="1" containsInteger="1" minValue="30" maxValue="850"/>
    </cacheField>
    <cacheField name="Revenue (£)" numFmtId="166">
      <sharedItems containsString="0" containsBlank="1" containsNumber="1" containsInteger="1" minValue="30" maxValue="11900" count="72">
        <n v="75"/>
        <n v="3080"/>
        <n v="220"/>
        <n v="900"/>
        <n v="270"/>
        <n v="1320"/>
        <n v="2550"/>
        <n v="525"/>
        <n v="675"/>
        <n v="1980"/>
        <n v="360"/>
        <n v="1800"/>
        <n v="240"/>
        <n v="1080"/>
        <n v="2160"/>
        <n v="1440"/>
        <n v="150"/>
        <n v="2200"/>
        <n v="540"/>
        <n v="180"/>
        <n v="450"/>
        <n v="300"/>
        <n v="2640"/>
        <n v="90"/>
        <n v="405"/>
        <n v="2420"/>
        <n v="225"/>
        <n v="120"/>
        <n v="2860"/>
        <n v="975"/>
        <n v="11900"/>
        <n v="390"/>
        <n v="60"/>
        <n v="1760"/>
        <n v="11050"/>
        <n v="375"/>
        <n v="315"/>
        <n v="5100"/>
        <n v="850"/>
        <n v="825"/>
        <n v="330"/>
        <n v="1620"/>
        <n v="4250"/>
        <n v="1540"/>
        <n v="10200"/>
        <n v="1100"/>
        <n v="660"/>
        <n v="45"/>
        <n v="630"/>
        <n v="420"/>
        <n v="135"/>
        <n v="1050"/>
        <n v="6800"/>
        <n v="600"/>
        <n v="9350"/>
        <n v="1700"/>
        <n v="1260"/>
        <n v="440"/>
        <n v="880"/>
        <n v="2520"/>
        <n v="8500"/>
        <n v="585"/>
        <n v="495"/>
        <n v="210"/>
        <n v="720"/>
        <n v="7650"/>
        <n v="2340"/>
        <n v="30"/>
        <n v="750"/>
        <n v="3400"/>
        <n v="5950"/>
        <m/>
      </sharedItems>
    </cacheField>
    <cacheField name="Month/Year" numFmtId="14">
      <sharedItems containsBlank="1" count="19">
        <s v="Apr 2023"/>
        <s v="Mar 2024"/>
        <s v="Sep 2023"/>
        <s v="Mar 2023"/>
        <s v="Jan 2023"/>
        <s v="May 2023"/>
        <s v="Apr 2024"/>
        <s v="Aug 2023"/>
        <s v="Nov 2023"/>
        <s v="Jan 2024"/>
        <s v="Dec 2023"/>
        <s v="May 2024"/>
        <s v="Feb 2024"/>
        <s v="Jul 2023"/>
        <s v="Oct 2023"/>
        <s v="Jun 2023"/>
        <s v="Feb 2023"/>
        <s v="Jun 2024"/>
        <m/>
      </sharedItems>
    </cacheField>
    <cacheField name="Order Siz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34676" refreshedDate="46029.468372800926" createdVersion="8" refreshedVersion="8" minRefreshableVersion="3" recordCount="500" xr:uid="{C9539C97-6B05-4B7A-BCEE-438BF7FAA8BC}">
  <cacheSource type="worksheet">
    <worksheetSource name="Table1"/>
  </cacheSource>
  <cacheFields count="11">
    <cacheField name="Order ID" numFmtId="0">
      <sharedItems containsSemiMixedTypes="0" containsString="0" containsNumber="1" containsInteger="1" minValue="10001" maxValue="10500"/>
    </cacheField>
    <cacheField name="Order Date" numFmtId="164">
      <sharedItems containsSemiMixedTypes="0" containsNonDate="0" containsDate="1" containsString="0" minDate="2023-01-01T00:00:00" maxDate="2024-07-01T00:00:00"/>
    </cacheField>
    <cacheField name="Region" numFmtId="0">
      <sharedItems count="5">
        <s v="South East"/>
        <s v="London"/>
        <s v="Midlands"/>
        <s v="Scotland"/>
        <s v="North West"/>
      </sharedItems>
    </cacheField>
    <cacheField name="Salesperson" numFmtId="0">
      <sharedItems count="5">
        <s v="Liam O'Connor"/>
        <s v="Ahmed Khan"/>
        <s v="Sophie Turner"/>
        <s v="John Smith"/>
        <s v="Emma Brown"/>
      </sharedItems>
    </cacheField>
    <cacheField name="Product" numFmtId="0">
      <sharedItems count="6">
        <s v="Headset"/>
        <s v="Monitor"/>
        <s v="Docking Station"/>
        <s v="Keyboard"/>
        <s v="Laptop"/>
        <s v="Mouse"/>
      </sharedItems>
    </cacheField>
    <cacheField name="Category" numFmtId="0">
      <sharedItems count="2">
        <s v="Accessories"/>
        <s v="Electronics"/>
      </sharedItems>
    </cacheField>
    <cacheField name="Units Sold" numFmtId="0">
      <sharedItems containsSemiMixedTypes="0" containsString="0" containsNumber="1" containsInteger="1" minValue="1" maxValue="14"/>
    </cacheField>
    <cacheField name="Unit Price (£)" numFmtId="166">
      <sharedItems containsSemiMixedTypes="0" containsString="0" containsNumber="1" containsInteger="1" minValue="30" maxValue="850"/>
    </cacheField>
    <cacheField name="Revenue (£)" numFmtId="166">
      <sharedItems containsSemiMixedTypes="0" containsString="0" containsNumber="1" containsInteger="1" minValue="30" maxValue="11900"/>
    </cacheField>
    <cacheField name="Month/Year" numFmtId="14">
      <sharedItems count="18">
        <s v="Apr 2023"/>
        <s v="Mar 2024"/>
        <s v="Sep 2023"/>
        <s v="Mar 2023"/>
        <s v="Jan 2023"/>
        <s v="May 2023"/>
        <s v="Apr 2024"/>
        <s v="Aug 2023"/>
        <s v="Nov 2023"/>
        <s v="Jan 2024"/>
        <s v="Dec 2023"/>
        <s v="May 2024"/>
        <s v="Feb 2024"/>
        <s v="Jul 2023"/>
        <s v="Oct 2023"/>
        <s v="Jun 2023"/>
        <s v="Feb 2023"/>
        <s v="Jun 2024"/>
      </sharedItems>
    </cacheField>
    <cacheField name="Order Size" numFmtId="0">
      <sharedItems count="3">
        <s v="small"/>
        <s v="Large"/>
        <s v="medium"/>
      </sharedItems>
    </cacheField>
  </cacheFields>
  <extLst>
    <ext xmlns:x14="http://schemas.microsoft.com/office/spreadsheetml/2009/9/main" uri="{725AE2AE-9491-48be-B2B4-4EB974FC3084}">
      <x14:pivotCacheDefinition pivotCacheId="89464625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34676" refreshedDate="46029.468373495372" createdVersion="8" refreshedVersion="8" minRefreshableVersion="3" recordCount="502" xr:uid="{3036EE64-187A-4739-8ABC-247D56176343}">
  <cacheSource type="worksheet">
    <worksheetSource ref="A1:J1048576" sheet="Raw_Data"/>
  </cacheSource>
  <cacheFields count="13">
    <cacheField name="Order ID" numFmtId="0">
      <sharedItems containsString="0" containsBlank="1" containsNumber="1" containsInteger="1" minValue="10001" maxValue="10500"/>
    </cacheField>
    <cacheField name="Order Date" numFmtId="0">
      <sharedItems containsNonDate="0" containsDate="1" containsString="0" containsBlank="1" minDate="2023-01-01T00:00:00" maxDate="2024-07-01T00:00:00" count="321">
        <d v="2023-04-13T00:00:00"/>
        <d v="2024-03-11T00:00:00"/>
        <d v="2023-09-28T00:00:00"/>
        <d v="2023-04-17T00:00:00"/>
        <d v="2023-03-13T00:00:00"/>
        <d v="2023-01-21T00:00:00"/>
        <d v="2023-05-02T00:00:00"/>
        <d v="2024-04-11T00:00:00"/>
        <d v="2023-08-03T00:00:00"/>
        <d v="2023-11-27T00:00:00"/>
        <d v="2024-04-03T00:00:00"/>
        <d v="2023-03-29T00:00:00"/>
        <d v="2024-01-08T00:00:00"/>
        <d v="2023-04-10T00:00:00"/>
        <d v="2023-05-11T00:00:00"/>
        <d v="2023-11-05T00:00:00"/>
        <d v="2023-12-10T00:00:00"/>
        <d v="2024-05-06T00:00:00"/>
        <d v="2024-02-18T00:00:00"/>
        <d v="2024-01-21T00:00:00"/>
        <d v="2023-07-11T00:00:00"/>
        <d v="2023-10-04T00:00:00"/>
        <d v="2023-06-10T00:00:00"/>
        <d v="2024-04-04T00:00:00"/>
        <d v="2023-11-10T00:00:00"/>
        <d v="2023-01-22T00:00:00"/>
        <d v="2023-09-10T00:00:00"/>
        <d v="2024-04-19T00:00:00"/>
        <d v="2023-02-28T00:00:00"/>
        <d v="2024-05-25T00:00:00"/>
        <d v="2024-04-20T00:00:00"/>
        <d v="2023-07-09T00:00:00"/>
        <d v="2023-09-01T00:00:00"/>
        <d v="2024-05-19T00:00:00"/>
        <d v="2024-04-29T00:00:00"/>
        <d v="2023-06-16T00:00:00"/>
        <d v="2023-10-01T00:00:00"/>
        <d v="2024-01-23T00:00:00"/>
        <d v="2023-11-12T00:00:00"/>
        <d v="2023-01-14T00:00:00"/>
        <d v="2023-08-30T00:00:00"/>
        <d v="2023-12-12T00:00:00"/>
        <d v="2023-12-06T00:00:00"/>
        <d v="2023-04-02T00:00:00"/>
        <d v="2024-01-02T00:00:00"/>
        <d v="2024-03-30T00:00:00"/>
        <d v="2024-03-03T00:00:00"/>
        <d v="2024-05-23T00:00:00"/>
        <d v="2023-02-04T00:00:00"/>
        <d v="2023-07-25T00:00:00"/>
        <d v="2023-03-22T00:00:00"/>
        <d v="2023-01-02T00:00:00"/>
        <d v="2024-01-25T00:00:00"/>
        <d v="2023-04-16T00:00:00"/>
        <d v="2024-04-21T00:00:00"/>
        <d v="2024-02-06T00:00:00"/>
        <d v="2023-06-11T00:00:00"/>
        <d v="2023-07-21T00:00:00"/>
        <d v="2023-09-27T00:00:00"/>
        <d v="2024-03-31T00:00:00"/>
        <d v="2024-04-06T00:00:00"/>
        <d v="2023-09-09T00:00:00"/>
        <d v="2023-10-23T00:00:00"/>
        <d v="2023-12-04T00:00:00"/>
        <d v="2023-02-22T00:00:00"/>
        <d v="2023-08-05T00:00:00"/>
        <d v="2023-07-07T00:00:00"/>
        <d v="2024-01-15T00:00:00"/>
        <d v="2024-05-07T00:00:00"/>
        <d v="2023-02-10T00:00:00"/>
        <d v="2023-06-06T00:00:00"/>
        <d v="2023-01-15T00:00:00"/>
        <d v="2023-03-06T00:00:00"/>
        <d v="2024-06-04T00:00:00"/>
        <d v="2023-05-09T00:00:00"/>
        <d v="2024-04-16T00:00:00"/>
        <d v="2023-03-04T00:00:00"/>
        <d v="2023-05-19T00:00:00"/>
        <d v="2024-05-13T00:00:00"/>
        <d v="2024-01-27T00:00:00"/>
        <d v="2024-02-23T00:00:00"/>
        <d v="2023-10-16T00:00:00"/>
        <d v="2024-01-14T00:00:00"/>
        <d v="2024-05-04T00:00:00"/>
        <d v="2023-08-19T00:00:00"/>
        <d v="2023-01-28T00:00:00"/>
        <d v="2023-05-15T00:00:00"/>
        <d v="2023-07-20T00:00:00"/>
        <d v="2023-02-02T00:00:00"/>
        <d v="2023-02-17T00:00:00"/>
        <d v="2024-05-17T00:00:00"/>
        <d v="2024-02-11T00:00:00"/>
        <d v="2023-04-09T00:00:00"/>
        <d v="2024-06-30T00:00:00"/>
        <d v="2023-01-05T00:00:00"/>
        <d v="2023-08-06T00:00:00"/>
        <d v="2024-02-02T00:00:00"/>
        <d v="2024-01-28T00:00:00"/>
        <d v="2023-07-26T00:00:00"/>
        <d v="2024-04-05T00:00:00"/>
        <d v="2023-08-29T00:00:00"/>
        <d v="2023-04-06T00:00:00"/>
        <d v="2023-06-20T00:00:00"/>
        <d v="2024-06-24T00:00:00"/>
        <d v="2023-02-05T00:00:00"/>
        <d v="2024-06-08T00:00:00"/>
        <d v="2023-06-09T00:00:00"/>
        <d v="2023-08-31T00:00:00"/>
        <d v="2023-03-27T00:00:00"/>
        <d v="2024-05-20T00:00:00"/>
        <d v="2023-12-14T00:00:00"/>
        <d v="2024-04-17T00:00:00"/>
        <d v="2023-08-13T00:00:00"/>
        <d v="2024-01-20T00:00:00"/>
        <d v="2024-01-12T00:00:00"/>
        <d v="2023-10-10T00:00:00"/>
        <d v="2023-09-16T00:00:00"/>
        <d v="2023-12-25T00:00:00"/>
        <d v="2024-02-15T00:00:00"/>
        <d v="2023-11-14T00:00:00"/>
        <d v="2023-08-22T00:00:00"/>
        <d v="2024-01-09T00:00:00"/>
        <d v="2023-08-21T00:00:00"/>
        <d v="2023-04-23T00:00:00"/>
        <d v="2024-05-11T00:00:00"/>
        <d v="2024-03-17T00:00:00"/>
        <d v="2023-09-25T00:00:00"/>
        <d v="2024-05-24T00:00:00"/>
        <d v="2024-01-22T00:00:00"/>
        <d v="2023-08-08T00:00:00"/>
        <d v="2024-02-07T00:00:00"/>
        <d v="2023-05-10T00:00:00"/>
        <d v="2024-02-20T00:00:00"/>
        <d v="2023-09-04T00:00:00"/>
        <d v="2024-03-14T00:00:00"/>
        <d v="2023-07-22T00:00:00"/>
        <d v="2023-07-03T00:00:00"/>
        <d v="2023-05-03T00:00:00"/>
        <d v="2024-02-05T00:00:00"/>
        <d v="2023-10-21T00:00:00"/>
        <d v="2023-10-07T00:00:00"/>
        <d v="2023-07-17T00:00:00"/>
        <d v="2023-05-24T00:00:00"/>
        <d v="2023-05-04T00:00:00"/>
        <d v="2023-07-06T00:00:00"/>
        <d v="2023-11-22T00:00:00"/>
        <d v="2024-04-08T00:00:00"/>
        <d v="2023-12-15T00:00:00"/>
        <d v="2023-05-27T00:00:00"/>
        <d v="2023-05-28T00:00:00"/>
        <d v="2024-05-03T00:00:00"/>
        <d v="2023-05-31T00:00:00"/>
        <d v="2024-02-19T00:00:00"/>
        <d v="2023-10-25T00:00:00"/>
        <d v="2023-09-20T00:00:00"/>
        <d v="2023-10-31T00:00:00"/>
        <d v="2023-09-11T00:00:00"/>
        <d v="2024-03-28T00:00:00"/>
        <d v="2023-02-06T00:00:00"/>
        <d v="2023-01-09T00:00:00"/>
        <d v="2023-07-27T00:00:00"/>
        <d v="2024-02-08T00:00:00"/>
        <d v="2023-06-01T00:00:00"/>
        <d v="2023-02-23T00:00:00"/>
        <d v="2023-04-30T00:00:00"/>
        <d v="2024-02-24T00:00:00"/>
        <d v="2024-02-26T00:00:00"/>
        <d v="2023-04-14T00:00:00"/>
        <d v="2023-08-15T00:00:00"/>
        <d v="2023-04-22T00:00:00"/>
        <d v="2023-06-02T00:00:00"/>
        <d v="2023-06-12T00:00:00"/>
        <d v="2024-05-18T00:00:00"/>
        <d v="2023-07-14T00:00:00"/>
        <d v="2024-04-14T00:00:00"/>
        <d v="2024-01-10T00:00:00"/>
        <d v="2023-02-07T00:00:00"/>
        <d v="2023-08-18T00:00:00"/>
        <d v="2023-12-31T00:00:00"/>
        <d v="2024-03-13T00:00:00"/>
        <d v="2023-01-27T00:00:00"/>
        <d v="2023-08-14T00:00:00"/>
        <d v="2023-10-11T00:00:00"/>
        <d v="2024-04-25T00:00:00"/>
        <d v="2024-05-30T00:00:00"/>
        <d v="2023-02-18T00:00:00"/>
        <d v="2024-05-26T00:00:00"/>
        <d v="2023-01-17T00:00:00"/>
        <d v="2023-06-21T00:00:00"/>
        <d v="2023-06-07T00:00:00"/>
        <d v="2023-02-15T00:00:00"/>
        <d v="2024-06-01T00:00:00"/>
        <d v="2023-10-29T00:00:00"/>
        <d v="2023-06-30T00:00:00"/>
        <d v="2023-04-26T00:00:00"/>
        <d v="2023-07-10T00:00:00"/>
        <d v="2023-09-13T00:00:00"/>
        <d v="2023-11-19T00:00:00"/>
        <d v="2023-05-08T00:00:00"/>
        <d v="2023-01-18T00:00:00"/>
        <d v="2023-10-15T00:00:00"/>
        <d v="2023-06-04T00:00:00"/>
        <d v="2023-09-03T00:00:00"/>
        <d v="2023-06-25T00:00:00"/>
        <d v="2023-02-08T00:00:00"/>
        <d v="2024-06-21T00:00:00"/>
        <d v="2024-02-12T00:00:00"/>
        <d v="2023-01-20T00:00:00"/>
        <d v="2023-11-17T00:00:00"/>
        <d v="2024-02-04T00:00:00"/>
        <d v="2024-04-15T00:00:00"/>
        <d v="2023-05-23T00:00:00"/>
        <d v="2023-12-20T00:00:00"/>
        <d v="2023-02-20T00:00:00"/>
        <d v="2023-05-05T00:00:00"/>
        <d v="2023-05-30T00:00:00"/>
        <d v="2023-12-08T00:00:00"/>
        <d v="2023-11-01T00:00:00"/>
        <d v="2024-03-19T00:00:00"/>
        <d v="2023-09-21T00:00:00"/>
        <d v="2023-07-15T00:00:00"/>
        <d v="2023-12-16T00:00:00"/>
        <d v="2023-02-16T00:00:00"/>
        <d v="2023-09-26T00:00:00"/>
        <d v="2024-01-05T00:00:00"/>
        <d v="2023-02-27T00:00:00"/>
        <d v="2024-04-18T00:00:00"/>
        <d v="2023-04-27T00:00:00"/>
        <d v="2023-05-07T00:00:00"/>
        <d v="2024-05-27T00:00:00"/>
        <d v="2023-04-28T00:00:00"/>
        <d v="2024-05-02T00:00:00"/>
        <d v="2023-08-25T00:00:00"/>
        <d v="2023-09-29T00:00:00"/>
        <d v="2023-07-08T00:00:00"/>
        <d v="2024-03-22T00:00:00"/>
        <d v="2023-03-17T00:00:00"/>
        <d v="2023-06-03T00:00:00"/>
        <d v="2024-03-10T00:00:00"/>
        <d v="2023-10-12T00:00:00"/>
        <d v="2023-03-10T00:00:00"/>
        <d v="2023-04-04T00:00:00"/>
        <d v="2023-07-23T00:00:00"/>
        <d v="2024-03-07T00:00:00"/>
        <d v="2023-12-07T00:00:00"/>
        <d v="2023-12-23T00:00:00"/>
        <d v="2023-01-23T00:00:00"/>
        <d v="2024-06-05T00:00:00"/>
        <d v="2023-06-29T00:00:00"/>
        <d v="2023-08-11T00:00:00"/>
        <d v="2023-11-21T00:00:00"/>
        <d v="2023-01-16T00:00:00"/>
        <d v="2023-12-02T00:00:00"/>
        <d v="2023-09-15T00:00:00"/>
        <d v="2024-06-28T00:00:00"/>
        <d v="2024-03-02T00:00:00"/>
        <d v="2024-02-21T00:00:00"/>
        <d v="2023-06-17T00:00:00"/>
        <d v="2023-02-12T00:00:00"/>
        <d v="2024-02-01T00:00:00"/>
        <d v="2023-01-12T00:00:00"/>
        <d v="2023-03-31T00:00:00"/>
        <d v="2024-02-22T00:00:00"/>
        <d v="2023-04-25T00:00:00"/>
        <d v="2024-05-15T00:00:00"/>
        <d v="2023-03-16T00:00:00"/>
        <d v="2024-02-17T00:00:00"/>
        <d v="2024-01-11T00:00:00"/>
        <d v="2024-01-29T00:00:00"/>
        <d v="2024-04-01T00:00:00"/>
        <d v="2024-01-04T00:00:00"/>
        <d v="2023-10-06T00:00:00"/>
        <d v="2023-09-30T00:00:00"/>
        <d v="2023-03-03T00:00:00"/>
        <d v="2023-01-19T00:00:00"/>
        <d v="2023-06-26T00:00:00"/>
        <d v="2024-01-31T00:00:00"/>
        <d v="2024-03-20T00:00:00"/>
        <d v="2023-09-22T00:00:00"/>
        <d v="2024-01-19T00:00:00"/>
        <d v="2023-01-25T00:00:00"/>
        <d v="2024-04-13T00:00:00"/>
        <d v="2024-04-28T00:00:00"/>
        <d v="2023-04-19T00:00:00"/>
        <d v="2023-02-11T00:00:00"/>
        <d v="2023-07-05T00:00:00"/>
        <d v="2023-05-13T00:00:00"/>
        <d v="2023-08-23T00:00:00"/>
        <d v="2023-03-15T00:00:00"/>
        <d v="2024-06-02T00:00:00"/>
        <d v="2023-06-23T00:00:00"/>
        <d v="2023-06-19T00:00:00"/>
        <d v="2023-07-13T00:00:00"/>
        <d v="2024-05-31T00:00:00"/>
        <d v="2023-01-29T00:00:00"/>
        <d v="2023-06-14T00:00:00"/>
        <d v="2023-12-05T00:00:00"/>
        <d v="2024-05-10T00:00:00"/>
        <d v="2024-05-14T00:00:00"/>
        <d v="2023-11-23T00:00:00"/>
        <d v="2023-10-28T00:00:00"/>
        <d v="2023-05-12T00:00:00"/>
        <d v="2023-03-11T00:00:00"/>
        <d v="2023-07-01T00:00:00"/>
        <d v="2023-04-01T00:00:00"/>
        <d v="2024-06-14T00:00:00"/>
        <d v="2023-05-06T00:00:00"/>
        <d v="2024-03-26T00:00:00"/>
        <d v="2023-06-22T00:00:00"/>
        <d v="2023-12-27T00:00:00"/>
        <d v="2023-01-01T00:00:00"/>
        <d v="2024-05-22T00:00:00"/>
        <d v="2024-02-13T00:00:00"/>
        <d v="2023-05-14T00:00:00"/>
        <d v="2023-05-29T00:00:00"/>
        <d v="2023-03-21T00:00:00"/>
        <d v="2023-08-01T00:00:00"/>
        <d v="2023-08-17T00:00:00"/>
        <d v="2024-06-15T00:00:00"/>
        <d v="2024-03-16T00:00:00"/>
        <m/>
      </sharedItems>
      <fieldGroup par="12"/>
    </cacheField>
    <cacheField name="Region" numFmtId="0">
      <sharedItems containsBlank="1"/>
    </cacheField>
    <cacheField name="Salesperson" numFmtId="0">
      <sharedItems containsBlank="1" count="6">
        <s v="Liam O'Connor"/>
        <s v="Ahmed Khan"/>
        <s v="Sophie Turner"/>
        <s v="John Smith"/>
        <s v="Emma Brown"/>
        <m/>
      </sharedItems>
    </cacheField>
    <cacheField name="Product" numFmtId="0">
      <sharedItems containsBlank="1"/>
    </cacheField>
    <cacheField name="Category" numFmtId="0">
      <sharedItems containsBlank="1"/>
    </cacheField>
    <cacheField name="Units Sold" numFmtId="0">
      <sharedItems containsString="0" containsBlank="1" containsNumber="1" containsInteger="1" minValue="1" maxValue="14"/>
    </cacheField>
    <cacheField name="Unit Price (£)" numFmtId="166">
      <sharedItems containsString="0" containsBlank="1" containsNumber="1" containsInteger="1" minValue="30" maxValue="850"/>
    </cacheField>
    <cacheField name="Revenue (£)" numFmtId="166">
      <sharedItems containsString="0" containsBlank="1" containsNumber="1" containsInteger="1" minValue="30" maxValue="11900"/>
    </cacheField>
    <cacheField name="Month/Year" numFmtId="14">
      <sharedItems containsBlank="1"/>
    </cacheField>
    <cacheField name="Order Size" numFmtId="0">
      <sharedItems containsBlank="1" count="4">
        <s v="small"/>
        <s v="Large"/>
        <s v="medium"/>
        <m/>
      </sharedItems>
    </cacheField>
    <cacheField name="Months (Order Date)" numFmtId="0" databaseField="0">
      <fieldGroup base="1">
        <rangePr groupBy="months" startDate="2023-01-01T00:00:00" endDate="2024-07-01T00:00:00"/>
        <groupItems count="14">
          <s v="&lt;01/01/2023"/>
          <s v="Jan"/>
          <s v="Feb"/>
          <s v="Mar"/>
          <s v="Apr"/>
          <s v="May"/>
          <s v="Jun"/>
          <s v="Jul"/>
          <s v="Aug"/>
          <s v="Sep"/>
          <s v="Oct"/>
          <s v="Nov"/>
          <s v="Dec"/>
          <s v="&gt;01/07/2024"/>
        </groupItems>
      </fieldGroup>
    </cacheField>
    <cacheField name="Years (Order Date)" numFmtId="0" databaseField="0">
      <fieldGroup base="1">
        <rangePr groupBy="years" startDate="2023-01-01T00:00:00" endDate="2024-07-01T00:00:00"/>
        <groupItems count="4">
          <s v="&lt;01/01/2023"/>
          <s v="2023"/>
          <s v="2024"/>
          <s v="&gt;01/07/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1"/>
    <d v="2023-04-13T00:00:00"/>
    <x v="0"/>
    <x v="0"/>
    <x v="0"/>
    <x v="0"/>
    <n v="1"/>
    <n v="75"/>
    <x v="0"/>
    <x v="0"/>
    <s v="small"/>
  </r>
  <r>
    <n v="10002"/>
    <d v="2024-03-11T00:00:00"/>
    <x v="1"/>
    <x v="1"/>
    <x v="1"/>
    <x v="1"/>
    <n v="14"/>
    <n v="220"/>
    <x v="1"/>
    <x v="1"/>
    <s v="Large"/>
  </r>
  <r>
    <n v="10003"/>
    <d v="2023-09-28T00:00:00"/>
    <x v="1"/>
    <x v="2"/>
    <x v="1"/>
    <x v="1"/>
    <n v="1"/>
    <n v="220"/>
    <x v="2"/>
    <x v="2"/>
    <s v="small"/>
  </r>
  <r>
    <n v="10004"/>
    <d v="2023-04-17T00:00:00"/>
    <x v="0"/>
    <x v="0"/>
    <x v="2"/>
    <x v="0"/>
    <n v="5"/>
    <n v="180"/>
    <x v="3"/>
    <x v="0"/>
    <s v="medium"/>
  </r>
  <r>
    <n v="10005"/>
    <d v="2023-03-13T00:00:00"/>
    <x v="2"/>
    <x v="3"/>
    <x v="3"/>
    <x v="0"/>
    <n v="6"/>
    <n v="45"/>
    <x v="4"/>
    <x v="3"/>
    <s v="small"/>
  </r>
  <r>
    <n v="10006"/>
    <d v="2023-01-21T00:00:00"/>
    <x v="3"/>
    <x v="3"/>
    <x v="1"/>
    <x v="1"/>
    <n v="6"/>
    <n v="220"/>
    <x v="5"/>
    <x v="4"/>
    <s v="medium"/>
  </r>
  <r>
    <n v="10007"/>
    <d v="2023-05-02T00:00:00"/>
    <x v="3"/>
    <x v="3"/>
    <x v="4"/>
    <x v="1"/>
    <n v="3"/>
    <n v="850"/>
    <x v="6"/>
    <x v="5"/>
    <s v="Large"/>
  </r>
  <r>
    <n v="10008"/>
    <d v="2024-04-11T00:00:00"/>
    <x v="1"/>
    <x v="3"/>
    <x v="0"/>
    <x v="0"/>
    <n v="7"/>
    <n v="75"/>
    <x v="7"/>
    <x v="6"/>
    <s v="medium"/>
  </r>
  <r>
    <n v="10009"/>
    <d v="2023-08-03T00:00:00"/>
    <x v="1"/>
    <x v="1"/>
    <x v="0"/>
    <x v="0"/>
    <n v="9"/>
    <n v="75"/>
    <x v="8"/>
    <x v="7"/>
    <s v="medium"/>
  </r>
  <r>
    <n v="10010"/>
    <d v="2023-11-27T00:00:00"/>
    <x v="2"/>
    <x v="2"/>
    <x v="2"/>
    <x v="0"/>
    <n v="11"/>
    <n v="180"/>
    <x v="9"/>
    <x v="8"/>
    <s v="medium"/>
  </r>
  <r>
    <n v="10011"/>
    <d v="2024-04-03T00:00:00"/>
    <x v="4"/>
    <x v="4"/>
    <x v="5"/>
    <x v="0"/>
    <n v="12"/>
    <n v="30"/>
    <x v="10"/>
    <x v="6"/>
    <s v="small"/>
  </r>
  <r>
    <n v="10012"/>
    <d v="2023-03-29T00:00:00"/>
    <x v="0"/>
    <x v="1"/>
    <x v="2"/>
    <x v="0"/>
    <n v="10"/>
    <n v="180"/>
    <x v="11"/>
    <x v="3"/>
    <s v="medium"/>
  </r>
  <r>
    <n v="10013"/>
    <d v="2024-01-08T00:00:00"/>
    <x v="1"/>
    <x v="1"/>
    <x v="5"/>
    <x v="0"/>
    <n v="8"/>
    <n v="30"/>
    <x v="12"/>
    <x v="9"/>
    <s v="small"/>
  </r>
  <r>
    <n v="10014"/>
    <d v="2023-04-10T00:00:00"/>
    <x v="3"/>
    <x v="4"/>
    <x v="2"/>
    <x v="0"/>
    <n v="6"/>
    <n v="180"/>
    <x v="13"/>
    <x v="0"/>
    <s v="medium"/>
  </r>
  <r>
    <n v="10015"/>
    <d v="2023-05-11T00:00:00"/>
    <x v="2"/>
    <x v="4"/>
    <x v="2"/>
    <x v="0"/>
    <n v="12"/>
    <n v="180"/>
    <x v="14"/>
    <x v="5"/>
    <s v="Large"/>
  </r>
  <r>
    <n v="10016"/>
    <d v="2023-11-05T00:00:00"/>
    <x v="0"/>
    <x v="3"/>
    <x v="2"/>
    <x v="0"/>
    <n v="8"/>
    <n v="180"/>
    <x v="15"/>
    <x v="8"/>
    <s v="medium"/>
  </r>
  <r>
    <n v="10017"/>
    <d v="2023-12-10T00:00:00"/>
    <x v="2"/>
    <x v="1"/>
    <x v="5"/>
    <x v="0"/>
    <n v="12"/>
    <n v="30"/>
    <x v="10"/>
    <x v="10"/>
    <s v="small"/>
  </r>
  <r>
    <n v="10018"/>
    <d v="2024-05-06T00:00:00"/>
    <x v="0"/>
    <x v="0"/>
    <x v="5"/>
    <x v="0"/>
    <n v="5"/>
    <n v="30"/>
    <x v="16"/>
    <x v="11"/>
    <s v="small"/>
  </r>
  <r>
    <n v="10019"/>
    <d v="2024-02-18T00:00:00"/>
    <x v="0"/>
    <x v="4"/>
    <x v="2"/>
    <x v="0"/>
    <n v="8"/>
    <n v="180"/>
    <x v="15"/>
    <x v="12"/>
    <s v="medium"/>
  </r>
  <r>
    <n v="10020"/>
    <d v="2024-01-21T00:00:00"/>
    <x v="1"/>
    <x v="4"/>
    <x v="1"/>
    <x v="1"/>
    <n v="10"/>
    <n v="220"/>
    <x v="17"/>
    <x v="9"/>
    <s v="Large"/>
  </r>
  <r>
    <n v="10021"/>
    <d v="2023-07-11T00:00:00"/>
    <x v="2"/>
    <x v="2"/>
    <x v="3"/>
    <x v="0"/>
    <n v="12"/>
    <n v="45"/>
    <x v="18"/>
    <x v="13"/>
    <s v="medium"/>
  </r>
  <r>
    <n v="10022"/>
    <d v="2023-10-04T00:00:00"/>
    <x v="2"/>
    <x v="0"/>
    <x v="3"/>
    <x v="0"/>
    <n v="4"/>
    <n v="45"/>
    <x v="19"/>
    <x v="14"/>
    <s v="small"/>
  </r>
  <r>
    <n v="10023"/>
    <d v="2023-06-10T00:00:00"/>
    <x v="3"/>
    <x v="0"/>
    <x v="3"/>
    <x v="0"/>
    <n v="10"/>
    <n v="45"/>
    <x v="20"/>
    <x v="15"/>
    <s v="small"/>
  </r>
  <r>
    <n v="10024"/>
    <d v="2024-04-04T00:00:00"/>
    <x v="3"/>
    <x v="4"/>
    <x v="5"/>
    <x v="0"/>
    <n v="8"/>
    <n v="30"/>
    <x v="12"/>
    <x v="6"/>
    <s v="small"/>
  </r>
  <r>
    <n v="10025"/>
    <d v="2023-11-10T00:00:00"/>
    <x v="1"/>
    <x v="3"/>
    <x v="5"/>
    <x v="0"/>
    <n v="10"/>
    <n v="30"/>
    <x v="21"/>
    <x v="8"/>
    <s v="small"/>
  </r>
  <r>
    <n v="10026"/>
    <d v="2023-01-22T00:00:00"/>
    <x v="1"/>
    <x v="2"/>
    <x v="1"/>
    <x v="1"/>
    <n v="12"/>
    <n v="220"/>
    <x v="22"/>
    <x v="4"/>
    <s v="Large"/>
  </r>
  <r>
    <n v="10027"/>
    <d v="2023-09-10T00:00:00"/>
    <x v="4"/>
    <x v="0"/>
    <x v="3"/>
    <x v="0"/>
    <n v="2"/>
    <n v="45"/>
    <x v="23"/>
    <x v="2"/>
    <s v="small"/>
  </r>
  <r>
    <n v="10028"/>
    <d v="2024-04-19T00:00:00"/>
    <x v="3"/>
    <x v="4"/>
    <x v="3"/>
    <x v="0"/>
    <n v="12"/>
    <n v="45"/>
    <x v="18"/>
    <x v="6"/>
    <s v="medium"/>
  </r>
  <r>
    <n v="10029"/>
    <d v="2023-02-28T00:00:00"/>
    <x v="0"/>
    <x v="0"/>
    <x v="2"/>
    <x v="0"/>
    <n v="12"/>
    <n v="180"/>
    <x v="14"/>
    <x v="16"/>
    <s v="Large"/>
  </r>
  <r>
    <n v="10030"/>
    <d v="2024-05-25T00:00:00"/>
    <x v="2"/>
    <x v="2"/>
    <x v="5"/>
    <x v="0"/>
    <n v="5"/>
    <n v="30"/>
    <x v="16"/>
    <x v="11"/>
    <s v="small"/>
  </r>
  <r>
    <n v="10031"/>
    <d v="2024-04-20T00:00:00"/>
    <x v="1"/>
    <x v="2"/>
    <x v="3"/>
    <x v="0"/>
    <n v="9"/>
    <n v="45"/>
    <x v="24"/>
    <x v="6"/>
    <s v="small"/>
  </r>
  <r>
    <n v="10032"/>
    <d v="2023-07-09T00:00:00"/>
    <x v="2"/>
    <x v="1"/>
    <x v="0"/>
    <x v="0"/>
    <n v="4"/>
    <n v="75"/>
    <x v="21"/>
    <x v="13"/>
    <s v="small"/>
  </r>
  <r>
    <n v="10033"/>
    <d v="2023-09-01T00:00:00"/>
    <x v="2"/>
    <x v="4"/>
    <x v="1"/>
    <x v="1"/>
    <n v="11"/>
    <n v="220"/>
    <x v="25"/>
    <x v="2"/>
    <s v="Large"/>
  </r>
  <r>
    <n v="10034"/>
    <d v="2024-05-19T00:00:00"/>
    <x v="4"/>
    <x v="2"/>
    <x v="0"/>
    <x v="0"/>
    <n v="6"/>
    <n v="75"/>
    <x v="20"/>
    <x v="11"/>
    <s v="small"/>
  </r>
  <r>
    <n v="10035"/>
    <d v="2023-05-11T00:00:00"/>
    <x v="3"/>
    <x v="1"/>
    <x v="0"/>
    <x v="0"/>
    <n v="1"/>
    <n v="75"/>
    <x v="0"/>
    <x v="5"/>
    <s v="small"/>
  </r>
  <r>
    <n v="10036"/>
    <d v="2024-04-29T00:00:00"/>
    <x v="1"/>
    <x v="1"/>
    <x v="1"/>
    <x v="1"/>
    <n v="9"/>
    <n v="220"/>
    <x v="9"/>
    <x v="6"/>
    <s v="medium"/>
  </r>
  <r>
    <n v="10037"/>
    <d v="2023-01-21T00:00:00"/>
    <x v="2"/>
    <x v="0"/>
    <x v="0"/>
    <x v="0"/>
    <n v="1"/>
    <n v="75"/>
    <x v="0"/>
    <x v="4"/>
    <s v="small"/>
  </r>
  <r>
    <n v="10038"/>
    <d v="2023-06-16T00:00:00"/>
    <x v="1"/>
    <x v="0"/>
    <x v="3"/>
    <x v="0"/>
    <n v="5"/>
    <n v="45"/>
    <x v="26"/>
    <x v="15"/>
    <s v="small"/>
  </r>
  <r>
    <n v="10039"/>
    <d v="2023-10-01T00:00:00"/>
    <x v="0"/>
    <x v="1"/>
    <x v="5"/>
    <x v="0"/>
    <n v="4"/>
    <n v="30"/>
    <x v="27"/>
    <x v="14"/>
    <s v="small"/>
  </r>
  <r>
    <n v="10040"/>
    <d v="2024-01-23T00:00:00"/>
    <x v="4"/>
    <x v="0"/>
    <x v="1"/>
    <x v="1"/>
    <n v="13"/>
    <n v="220"/>
    <x v="28"/>
    <x v="9"/>
    <s v="Large"/>
  </r>
  <r>
    <n v="10041"/>
    <d v="2023-11-12T00:00:00"/>
    <x v="0"/>
    <x v="2"/>
    <x v="2"/>
    <x v="0"/>
    <n v="12"/>
    <n v="180"/>
    <x v="14"/>
    <x v="8"/>
    <s v="Large"/>
  </r>
  <r>
    <n v="10042"/>
    <d v="2023-01-14T00:00:00"/>
    <x v="1"/>
    <x v="3"/>
    <x v="0"/>
    <x v="0"/>
    <n v="13"/>
    <n v="75"/>
    <x v="29"/>
    <x v="4"/>
    <s v="medium"/>
  </r>
  <r>
    <n v="10043"/>
    <d v="2023-08-30T00:00:00"/>
    <x v="1"/>
    <x v="2"/>
    <x v="1"/>
    <x v="1"/>
    <n v="13"/>
    <n v="220"/>
    <x v="28"/>
    <x v="7"/>
    <s v="Large"/>
  </r>
  <r>
    <n v="10044"/>
    <d v="2023-12-12T00:00:00"/>
    <x v="3"/>
    <x v="1"/>
    <x v="4"/>
    <x v="1"/>
    <n v="14"/>
    <n v="850"/>
    <x v="30"/>
    <x v="10"/>
    <s v="Large"/>
  </r>
  <r>
    <n v="10045"/>
    <d v="2023-12-06T00:00:00"/>
    <x v="2"/>
    <x v="1"/>
    <x v="4"/>
    <x v="1"/>
    <n v="3"/>
    <n v="850"/>
    <x v="6"/>
    <x v="10"/>
    <s v="Large"/>
  </r>
  <r>
    <n v="10046"/>
    <d v="2023-04-02T00:00:00"/>
    <x v="2"/>
    <x v="2"/>
    <x v="5"/>
    <x v="0"/>
    <n v="13"/>
    <n v="30"/>
    <x v="31"/>
    <x v="0"/>
    <s v="small"/>
  </r>
  <r>
    <n v="10047"/>
    <d v="2024-01-02T00:00:00"/>
    <x v="0"/>
    <x v="0"/>
    <x v="3"/>
    <x v="0"/>
    <n v="6"/>
    <n v="45"/>
    <x v="4"/>
    <x v="9"/>
    <s v="small"/>
  </r>
  <r>
    <n v="10048"/>
    <d v="2024-03-30T00:00:00"/>
    <x v="4"/>
    <x v="0"/>
    <x v="5"/>
    <x v="0"/>
    <n v="2"/>
    <n v="30"/>
    <x v="32"/>
    <x v="1"/>
    <s v="small"/>
  </r>
  <r>
    <n v="10049"/>
    <d v="2024-03-03T00:00:00"/>
    <x v="2"/>
    <x v="1"/>
    <x v="5"/>
    <x v="0"/>
    <n v="3"/>
    <n v="30"/>
    <x v="23"/>
    <x v="1"/>
    <s v="small"/>
  </r>
  <r>
    <n v="10050"/>
    <d v="2024-05-23T00:00:00"/>
    <x v="3"/>
    <x v="4"/>
    <x v="5"/>
    <x v="0"/>
    <n v="5"/>
    <n v="30"/>
    <x v="16"/>
    <x v="11"/>
    <s v="small"/>
  </r>
  <r>
    <n v="10051"/>
    <d v="2023-02-04T00:00:00"/>
    <x v="0"/>
    <x v="0"/>
    <x v="5"/>
    <x v="0"/>
    <n v="9"/>
    <n v="30"/>
    <x v="4"/>
    <x v="16"/>
    <s v="small"/>
  </r>
  <r>
    <n v="10052"/>
    <d v="2023-07-25T00:00:00"/>
    <x v="0"/>
    <x v="2"/>
    <x v="2"/>
    <x v="0"/>
    <n v="2"/>
    <n v="180"/>
    <x v="10"/>
    <x v="13"/>
    <s v="small"/>
  </r>
  <r>
    <n v="10053"/>
    <d v="2023-03-22T00:00:00"/>
    <x v="3"/>
    <x v="0"/>
    <x v="2"/>
    <x v="0"/>
    <n v="10"/>
    <n v="180"/>
    <x v="11"/>
    <x v="3"/>
    <s v="medium"/>
  </r>
  <r>
    <n v="10054"/>
    <d v="2024-01-23T00:00:00"/>
    <x v="4"/>
    <x v="2"/>
    <x v="1"/>
    <x v="1"/>
    <n v="8"/>
    <n v="220"/>
    <x v="33"/>
    <x v="9"/>
    <s v="medium"/>
  </r>
  <r>
    <n v="10055"/>
    <d v="2023-01-02T00:00:00"/>
    <x v="3"/>
    <x v="1"/>
    <x v="4"/>
    <x v="1"/>
    <n v="14"/>
    <n v="850"/>
    <x v="30"/>
    <x v="4"/>
    <s v="Large"/>
  </r>
  <r>
    <n v="10056"/>
    <d v="2024-01-25T00:00:00"/>
    <x v="4"/>
    <x v="0"/>
    <x v="5"/>
    <x v="0"/>
    <n v="2"/>
    <n v="30"/>
    <x v="32"/>
    <x v="9"/>
    <s v="small"/>
  </r>
  <r>
    <n v="10057"/>
    <d v="2023-04-16T00:00:00"/>
    <x v="3"/>
    <x v="2"/>
    <x v="1"/>
    <x v="1"/>
    <n v="11"/>
    <n v="220"/>
    <x v="25"/>
    <x v="0"/>
    <s v="Large"/>
  </r>
  <r>
    <n v="10058"/>
    <d v="2024-04-21T00:00:00"/>
    <x v="3"/>
    <x v="1"/>
    <x v="4"/>
    <x v="1"/>
    <n v="13"/>
    <n v="850"/>
    <x v="34"/>
    <x v="6"/>
    <s v="Large"/>
  </r>
  <r>
    <n v="10059"/>
    <d v="2024-02-06T00:00:00"/>
    <x v="1"/>
    <x v="4"/>
    <x v="0"/>
    <x v="0"/>
    <n v="5"/>
    <n v="75"/>
    <x v="35"/>
    <x v="12"/>
    <s v="small"/>
  </r>
  <r>
    <n v="10060"/>
    <d v="2023-06-11T00:00:00"/>
    <x v="0"/>
    <x v="2"/>
    <x v="3"/>
    <x v="0"/>
    <n v="7"/>
    <n v="45"/>
    <x v="36"/>
    <x v="15"/>
    <s v="small"/>
  </r>
  <r>
    <n v="10061"/>
    <d v="2023-07-21T00:00:00"/>
    <x v="3"/>
    <x v="4"/>
    <x v="2"/>
    <x v="0"/>
    <n v="8"/>
    <n v="180"/>
    <x v="15"/>
    <x v="13"/>
    <s v="medium"/>
  </r>
  <r>
    <n v="10062"/>
    <d v="2023-09-27T00:00:00"/>
    <x v="3"/>
    <x v="4"/>
    <x v="0"/>
    <x v="0"/>
    <n v="1"/>
    <n v="75"/>
    <x v="0"/>
    <x v="2"/>
    <s v="small"/>
  </r>
  <r>
    <n v="10063"/>
    <d v="2023-09-28T00:00:00"/>
    <x v="2"/>
    <x v="3"/>
    <x v="4"/>
    <x v="1"/>
    <n v="6"/>
    <n v="850"/>
    <x v="37"/>
    <x v="2"/>
    <s v="Large"/>
  </r>
  <r>
    <n v="10064"/>
    <d v="2024-03-31T00:00:00"/>
    <x v="0"/>
    <x v="0"/>
    <x v="0"/>
    <x v="0"/>
    <n v="1"/>
    <n v="75"/>
    <x v="0"/>
    <x v="1"/>
    <s v="small"/>
  </r>
  <r>
    <n v="10065"/>
    <d v="2024-04-06T00:00:00"/>
    <x v="2"/>
    <x v="2"/>
    <x v="3"/>
    <x v="0"/>
    <n v="2"/>
    <n v="45"/>
    <x v="23"/>
    <x v="6"/>
    <s v="small"/>
  </r>
  <r>
    <n v="10066"/>
    <d v="2023-09-09T00:00:00"/>
    <x v="0"/>
    <x v="4"/>
    <x v="4"/>
    <x v="1"/>
    <n v="1"/>
    <n v="850"/>
    <x v="38"/>
    <x v="2"/>
    <s v="medium"/>
  </r>
  <r>
    <n v="10067"/>
    <d v="2023-10-23T00:00:00"/>
    <x v="2"/>
    <x v="3"/>
    <x v="0"/>
    <x v="0"/>
    <n v="11"/>
    <n v="75"/>
    <x v="39"/>
    <x v="14"/>
    <s v="medium"/>
  </r>
  <r>
    <n v="10068"/>
    <d v="2023-12-04T00:00:00"/>
    <x v="3"/>
    <x v="1"/>
    <x v="2"/>
    <x v="0"/>
    <n v="5"/>
    <n v="180"/>
    <x v="3"/>
    <x v="10"/>
    <s v="medium"/>
  </r>
  <r>
    <n v="10069"/>
    <d v="2023-02-22T00:00:00"/>
    <x v="3"/>
    <x v="2"/>
    <x v="2"/>
    <x v="0"/>
    <n v="10"/>
    <n v="180"/>
    <x v="11"/>
    <x v="16"/>
    <s v="medium"/>
  </r>
  <r>
    <n v="10070"/>
    <d v="2023-08-05T00:00:00"/>
    <x v="1"/>
    <x v="4"/>
    <x v="1"/>
    <x v="1"/>
    <n v="9"/>
    <n v="220"/>
    <x v="9"/>
    <x v="7"/>
    <s v="medium"/>
  </r>
  <r>
    <n v="10071"/>
    <d v="2023-07-07T00:00:00"/>
    <x v="2"/>
    <x v="0"/>
    <x v="0"/>
    <x v="0"/>
    <n v="6"/>
    <n v="75"/>
    <x v="20"/>
    <x v="13"/>
    <s v="small"/>
  </r>
  <r>
    <n v="10072"/>
    <d v="2024-01-15T00:00:00"/>
    <x v="4"/>
    <x v="3"/>
    <x v="5"/>
    <x v="0"/>
    <n v="11"/>
    <n v="30"/>
    <x v="40"/>
    <x v="9"/>
    <s v="small"/>
  </r>
  <r>
    <n v="10073"/>
    <d v="2024-05-07T00:00:00"/>
    <x v="1"/>
    <x v="4"/>
    <x v="0"/>
    <x v="0"/>
    <n v="11"/>
    <n v="75"/>
    <x v="39"/>
    <x v="11"/>
    <s v="medium"/>
  </r>
  <r>
    <n v="10074"/>
    <d v="2023-02-10T00:00:00"/>
    <x v="2"/>
    <x v="0"/>
    <x v="4"/>
    <x v="1"/>
    <n v="1"/>
    <n v="850"/>
    <x v="38"/>
    <x v="16"/>
    <s v="medium"/>
  </r>
  <r>
    <n v="10075"/>
    <d v="2023-06-06T00:00:00"/>
    <x v="2"/>
    <x v="4"/>
    <x v="4"/>
    <x v="1"/>
    <n v="13"/>
    <n v="850"/>
    <x v="34"/>
    <x v="15"/>
    <s v="Large"/>
  </r>
  <r>
    <n v="10076"/>
    <d v="2023-01-15T00:00:00"/>
    <x v="1"/>
    <x v="2"/>
    <x v="0"/>
    <x v="0"/>
    <n v="1"/>
    <n v="75"/>
    <x v="0"/>
    <x v="4"/>
    <s v="small"/>
  </r>
  <r>
    <n v="10077"/>
    <d v="2023-03-06T00:00:00"/>
    <x v="3"/>
    <x v="2"/>
    <x v="3"/>
    <x v="0"/>
    <n v="2"/>
    <n v="45"/>
    <x v="23"/>
    <x v="3"/>
    <s v="small"/>
  </r>
  <r>
    <n v="10078"/>
    <d v="2024-06-04T00:00:00"/>
    <x v="2"/>
    <x v="2"/>
    <x v="2"/>
    <x v="0"/>
    <n v="9"/>
    <n v="180"/>
    <x v="41"/>
    <x v="17"/>
    <s v="medium"/>
  </r>
  <r>
    <n v="10079"/>
    <d v="2023-12-10T00:00:00"/>
    <x v="3"/>
    <x v="3"/>
    <x v="4"/>
    <x v="1"/>
    <n v="3"/>
    <n v="850"/>
    <x v="6"/>
    <x v="10"/>
    <s v="Large"/>
  </r>
  <r>
    <n v="10080"/>
    <d v="2023-05-09T00:00:00"/>
    <x v="1"/>
    <x v="2"/>
    <x v="2"/>
    <x v="0"/>
    <n v="1"/>
    <n v="180"/>
    <x v="19"/>
    <x v="5"/>
    <s v="small"/>
  </r>
  <r>
    <n v="10081"/>
    <d v="2024-04-16T00:00:00"/>
    <x v="3"/>
    <x v="0"/>
    <x v="4"/>
    <x v="1"/>
    <n v="5"/>
    <n v="850"/>
    <x v="42"/>
    <x v="6"/>
    <s v="Large"/>
  </r>
  <r>
    <n v="10082"/>
    <d v="2023-03-04T00:00:00"/>
    <x v="0"/>
    <x v="4"/>
    <x v="1"/>
    <x v="1"/>
    <n v="7"/>
    <n v="220"/>
    <x v="43"/>
    <x v="3"/>
    <s v="medium"/>
  </r>
  <r>
    <n v="10083"/>
    <d v="2023-05-19T00:00:00"/>
    <x v="4"/>
    <x v="1"/>
    <x v="5"/>
    <x v="0"/>
    <n v="6"/>
    <n v="30"/>
    <x v="19"/>
    <x v="5"/>
    <s v="small"/>
  </r>
  <r>
    <n v="10084"/>
    <d v="2024-05-13T00:00:00"/>
    <x v="2"/>
    <x v="0"/>
    <x v="4"/>
    <x v="1"/>
    <n v="12"/>
    <n v="850"/>
    <x v="44"/>
    <x v="11"/>
    <s v="Large"/>
  </r>
  <r>
    <n v="10085"/>
    <d v="2024-01-27T00:00:00"/>
    <x v="4"/>
    <x v="0"/>
    <x v="2"/>
    <x v="0"/>
    <n v="1"/>
    <n v="180"/>
    <x v="19"/>
    <x v="9"/>
    <s v="small"/>
  </r>
  <r>
    <n v="10086"/>
    <d v="2024-02-23T00:00:00"/>
    <x v="3"/>
    <x v="2"/>
    <x v="1"/>
    <x v="1"/>
    <n v="5"/>
    <n v="220"/>
    <x v="45"/>
    <x v="12"/>
    <s v="medium"/>
  </r>
  <r>
    <n v="10087"/>
    <d v="2023-10-16T00:00:00"/>
    <x v="2"/>
    <x v="3"/>
    <x v="4"/>
    <x v="1"/>
    <n v="5"/>
    <n v="850"/>
    <x v="42"/>
    <x v="14"/>
    <s v="Large"/>
  </r>
  <r>
    <n v="10088"/>
    <d v="2024-01-14T00:00:00"/>
    <x v="3"/>
    <x v="4"/>
    <x v="3"/>
    <x v="0"/>
    <n v="6"/>
    <n v="45"/>
    <x v="4"/>
    <x v="9"/>
    <s v="small"/>
  </r>
  <r>
    <n v="10089"/>
    <d v="2024-05-04T00:00:00"/>
    <x v="0"/>
    <x v="3"/>
    <x v="5"/>
    <x v="0"/>
    <n v="3"/>
    <n v="30"/>
    <x v="23"/>
    <x v="11"/>
    <s v="small"/>
  </r>
  <r>
    <n v="10090"/>
    <d v="2023-08-19T00:00:00"/>
    <x v="1"/>
    <x v="4"/>
    <x v="4"/>
    <x v="1"/>
    <n v="5"/>
    <n v="850"/>
    <x v="42"/>
    <x v="7"/>
    <s v="Large"/>
  </r>
  <r>
    <n v="10091"/>
    <d v="2023-02-10T00:00:00"/>
    <x v="2"/>
    <x v="4"/>
    <x v="1"/>
    <x v="1"/>
    <n v="7"/>
    <n v="220"/>
    <x v="43"/>
    <x v="16"/>
    <s v="medium"/>
  </r>
  <r>
    <n v="10092"/>
    <d v="2023-01-28T00:00:00"/>
    <x v="0"/>
    <x v="3"/>
    <x v="3"/>
    <x v="0"/>
    <n v="5"/>
    <n v="45"/>
    <x v="26"/>
    <x v="4"/>
    <s v="small"/>
  </r>
  <r>
    <n v="10093"/>
    <d v="2023-05-15T00:00:00"/>
    <x v="0"/>
    <x v="0"/>
    <x v="0"/>
    <x v="0"/>
    <n v="5"/>
    <n v="75"/>
    <x v="35"/>
    <x v="5"/>
    <s v="small"/>
  </r>
  <r>
    <n v="10094"/>
    <d v="2023-07-20T00:00:00"/>
    <x v="2"/>
    <x v="4"/>
    <x v="1"/>
    <x v="1"/>
    <n v="5"/>
    <n v="220"/>
    <x v="45"/>
    <x v="13"/>
    <s v="medium"/>
  </r>
  <r>
    <n v="10095"/>
    <d v="2023-02-02T00:00:00"/>
    <x v="3"/>
    <x v="3"/>
    <x v="1"/>
    <x v="1"/>
    <n v="10"/>
    <n v="220"/>
    <x v="17"/>
    <x v="16"/>
    <s v="Large"/>
  </r>
  <r>
    <n v="10096"/>
    <d v="2023-02-17T00:00:00"/>
    <x v="0"/>
    <x v="4"/>
    <x v="3"/>
    <x v="0"/>
    <n v="10"/>
    <n v="45"/>
    <x v="20"/>
    <x v="16"/>
    <s v="small"/>
  </r>
  <r>
    <n v="10097"/>
    <d v="2024-05-17T00:00:00"/>
    <x v="4"/>
    <x v="1"/>
    <x v="1"/>
    <x v="1"/>
    <n v="3"/>
    <n v="220"/>
    <x v="46"/>
    <x v="11"/>
    <s v="medium"/>
  </r>
  <r>
    <n v="10098"/>
    <d v="2024-02-11T00:00:00"/>
    <x v="0"/>
    <x v="0"/>
    <x v="3"/>
    <x v="0"/>
    <n v="1"/>
    <n v="45"/>
    <x v="47"/>
    <x v="12"/>
    <s v="small"/>
  </r>
  <r>
    <n v="10099"/>
    <d v="2023-04-09T00:00:00"/>
    <x v="3"/>
    <x v="2"/>
    <x v="4"/>
    <x v="1"/>
    <n v="5"/>
    <n v="850"/>
    <x v="42"/>
    <x v="0"/>
    <s v="Large"/>
  </r>
  <r>
    <n v="10100"/>
    <d v="2024-06-30T00:00:00"/>
    <x v="3"/>
    <x v="4"/>
    <x v="3"/>
    <x v="0"/>
    <n v="14"/>
    <n v="45"/>
    <x v="48"/>
    <x v="17"/>
    <s v="medium"/>
  </r>
  <r>
    <n v="10101"/>
    <d v="2024-04-06T00:00:00"/>
    <x v="4"/>
    <x v="1"/>
    <x v="3"/>
    <x v="0"/>
    <n v="9"/>
    <n v="45"/>
    <x v="24"/>
    <x v="6"/>
    <s v="small"/>
  </r>
  <r>
    <n v="10102"/>
    <d v="2023-01-05T00:00:00"/>
    <x v="0"/>
    <x v="2"/>
    <x v="5"/>
    <x v="0"/>
    <n v="14"/>
    <n v="30"/>
    <x v="49"/>
    <x v="4"/>
    <s v="small"/>
  </r>
  <r>
    <n v="10103"/>
    <d v="2023-08-06T00:00:00"/>
    <x v="3"/>
    <x v="2"/>
    <x v="3"/>
    <x v="0"/>
    <n v="1"/>
    <n v="45"/>
    <x v="47"/>
    <x v="7"/>
    <s v="small"/>
  </r>
  <r>
    <n v="10104"/>
    <d v="2024-05-17T00:00:00"/>
    <x v="2"/>
    <x v="4"/>
    <x v="3"/>
    <x v="0"/>
    <n v="3"/>
    <n v="45"/>
    <x v="50"/>
    <x v="11"/>
    <s v="small"/>
  </r>
  <r>
    <n v="10105"/>
    <d v="2024-02-02T00:00:00"/>
    <x v="1"/>
    <x v="3"/>
    <x v="0"/>
    <x v="0"/>
    <n v="13"/>
    <n v="75"/>
    <x v="29"/>
    <x v="12"/>
    <s v="medium"/>
  </r>
  <r>
    <n v="10106"/>
    <d v="2024-01-28T00:00:00"/>
    <x v="1"/>
    <x v="4"/>
    <x v="4"/>
    <x v="1"/>
    <n v="13"/>
    <n v="850"/>
    <x v="34"/>
    <x v="9"/>
    <s v="Large"/>
  </r>
  <r>
    <n v="10107"/>
    <d v="2023-07-26T00:00:00"/>
    <x v="1"/>
    <x v="1"/>
    <x v="5"/>
    <x v="0"/>
    <n v="4"/>
    <n v="30"/>
    <x v="27"/>
    <x v="13"/>
    <s v="small"/>
  </r>
  <r>
    <n v="10108"/>
    <d v="2023-01-15T00:00:00"/>
    <x v="0"/>
    <x v="2"/>
    <x v="0"/>
    <x v="0"/>
    <n v="14"/>
    <n v="75"/>
    <x v="51"/>
    <x v="4"/>
    <s v="medium"/>
  </r>
  <r>
    <n v="10109"/>
    <d v="2024-04-05T00:00:00"/>
    <x v="4"/>
    <x v="4"/>
    <x v="2"/>
    <x v="0"/>
    <n v="1"/>
    <n v="180"/>
    <x v="19"/>
    <x v="6"/>
    <s v="small"/>
  </r>
  <r>
    <n v="10110"/>
    <d v="2023-08-29T00:00:00"/>
    <x v="3"/>
    <x v="3"/>
    <x v="4"/>
    <x v="1"/>
    <n v="1"/>
    <n v="850"/>
    <x v="38"/>
    <x v="7"/>
    <s v="medium"/>
  </r>
  <r>
    <n v="10111"/>
    <d v="2023-04-06T00:00:00"/>
    <x v="2"/>
    <x v="4"/>
    <x v="4"/>
    <x v="1"/>
    <n v="8"/>
    <n v="850"/>
    <x v="52"/>
    <x v="0"/>
    <s v="Large"/>
  </r>
  <r>
    <n v="10112"/>
    <d v="2024-04-29T00:00:00"/>
    <x v="2"/>
    <x v="0"/>
    <x v="2"/>
    <x v="0"/>
    <n v="2"/>
    <n v="180"/>
    <x v="10"/>
    <x v="6"/>
    <s v="small"/>
  </r>
  <r>
    <n v="10113"/>
    <d v="2024-02-11T00:00:00"/>
    <x v="0"/>
    <x v="3"/>
    <x v="3"/>
    <x v="0"/>
    <n v="12"/>
    <n v="45"/>
    <x v="18"/>
    <x v="12"/>
    <s v="medium"/>
  </r>
  <r>
    <n v="10114"/>
    <d v="2023-08-19T00:00:00"/>
    <x v="1"/>
    <x v="1"/>
    <x v="0"/>
    <x v="0"/>
    <n v="8"/>
    <n v="75"/>
    <x v="53"/>
    <x v="7"/>
    <s v="medium"/>
  </r>
  <r>
    <n v="10115"/>
    <d v="2023-06-20T00:00:00"/>
    <x v="0"/>
    <x v="2"/>
    <x v="1"/>
    <x v="1"/>
    <n v="7"/>
    <n v="220"/>
    <x v="43"/>
    <x v="15"/>
    <s v="medium"/>
  </r>
  <r>
    <n v="10116"/>
    <d v="2024-06-24T00:00:00"/>
    <x v="4"/>
    <x v="4"/>
    <x v="5"/>
    <x v="0"/>
    <n v="10"/>
    <n v="30"/>
    <x v="21"/>
    <x v="17"/>
    <s v="small"/>
  </r>
  <r>
    <n v="10117"/>
    <d v="2023-02-05T00:00:00"/>
    <x v="4"/>
    <x v="3"/>
    <x v="1"/>
    <x v="1"/>
    <n v="10"/>
    <n v="220"/>
    <x v="17"/>
    <x v="16"/>
    <s v="Large"/>
  </r>
  <r>
    <n v="10118"/>
    <d v="2024-06-08T00:00:00"/>
    <x v="3"/>
    <x v="0"/>
    <x v="2"/>
    <x v="0"/>
    <n v="2"/>
    <n v="180"/>
    <x v="10"/>
    <x v="17"/>
    <s v="small"/>
  </r>
  <r>
    <n v="10119"/>
    <d v="2023-06-09T00:00:00"/>
    <x v="3"/>
    <x v="3"/>
    <x v="4"/>
    <x v="1"/>
    <n v="6"/>
    <n v="850"/>
    <x v="37"/>
    <x v="15"/>
    <s v="Large"/>
  </r>
  <r>
    <n v="10120"/>
    <d v="2023-08-31T00:00:00"/>
    <x v="4"/>
    <x v="0"/>
    <x v="4"/>
    <x v="1"/>
    <n v="6"/>
    <n v="850"/>
    <x v="37"/>
    <x v="7"/>
    <s v="Large"/>
  </r>
  <r>
    <n v="10121"/>
    <d v="2023-03-27T00:00:00"/>
    <x v="4"/>
    <x v="1"/>
    <x v="5"/>
    <x v="0"/>
    <n v="3"/>
    <n v="30"/>
    <x v="23"/>
    <x v="3"/>
    <s v="small"/>
  </r>
  <r>
    <n v="10122"/>
    <d v="2023-01-28T00:00:00"/>
    <x v="4"/>
    <x v="2"/>
    <x v="4"/>
    <x v="1"/>
    <n v="11"/>
    <n v="850"/>
    <x v="54"/>
    <x v="4"/>
    <s v="Large"/>
  </r>
  <r>
    <n v="10123"/>
    <d v="2023-12-06T00:00:00"/>
    <x v="0"/>
    <x v="1"/>
    <x v="4"/>
    <x v="1"/>
    <n v="2"/>
    <n v="850"/>
    <x v="55"/>
    <x v="10"/>
    <s v="medium"/>
  </r>
  <r>
    <n v="10124"/>
    <d v="2023-11-27T00:00:00"/>
    <x v="4"/>
    <x v="4"/>
    <x v="5"/>
    <x v="0"/>
    <n v="12"/>
    <n v="30"/>
    <x v="10"/>
    <x v="8"/>
    <s v="small"/>
  </r>
  <r>
    <n v="10125"/>
    <d v="2024-05-20T00:00:00"/>
    <x v="2"/>
    <x v="3"/>
    <x v="0"/>
    <x v="0"/>
    <n v="1"/>
    <n v="75"/>
    <x v="0"/>
    <x v="11"/>
    <s v="small"/>
  </r>
  <r>
    <n v="10126"/>
    <d v="2023-12-14T00:00:00"/>
    <x v="1"/>
    <x v="0"/>
    <x v="0"/>
    <x v="0"/>
    <n v="6"/>
    <n v="75"/>
    <x v="20"/>
    <x v="10"/>
    <s v="small"/>
  </r>
  <r>
    <n v="10127"/>
    <d v="2024-04-17T00:00:00"/>
    <x v="4"/>
    <x v="0"/>
    <x v="5"/>
    <x v="0"/>
    <n v="12"/>
    <n v="30"/>
    <x v="10"/>
    <x v="6"/>
    <s v="small"/>
  </r>
  <r>
    <n v="10128"/>
    <d v="2023-08-19T00:00:00"/>
    <x v="1"/>
    <x v="3"/>
    <x v="2"/>
    <x v="0"/>
    <n v="5"/>
    <n v="180"/>
    <x v="3"/>
    <x v="7"/>
    <s v="medium"/>
  </r>
  <r>
    <n v="10129"/>
    <d v="2023-07-09T00:00:00"/>
    <x v="0"/>
    <x v="3"/>
    <x v="4"/>
    <x v="1"/>
    <n v="14"/>
    <n v="850"/>
    <x v="30"/>
    <x v="13"/>
    <s v="Large"/>
  </r>
  <r>
    <n v="10130"/>
    <d v="2023-08-13T00:00:00"/>
    <x v="1"/>
    <x v="4"/>
    <x v="4"/>
    <x v="1"/>
    <n v="14"/>
    <n v="850"/>
    <x v="30"/>
    <x v="7"/>
    <s v="Large"/>
  </r>
  <r>
    <n v="10131"/>
    <d v="2024-01-20T00:00:00"/>
    <x v="0"/>
    <x v="1"/>
    <x v="2"/>
    <x v="0"/>
    <n v="11"/>
    <n v="180"/>
    <x v="9"/>
    <x v="9"/>
    <s v="medium"/>
  </r>
  <r>
    <n v="10132"/>
    <d v="2024-01-12T00:00:00"/>
    <x v="2"/>
    <x v="0"/>
    <x v="0"/>
    <x v="0"/>
    <n v="9"/>
    <n v="75"/>
    <x v="8"/>
    <x v="9"/>
    <s v="medium"/>
  </r>
  <r>
    <n v="10133"/>
    <d v="2023-10-10T00:00:00"/>
    <x v="0"/>
    <x v="4"/>
    <x v="3"/>
    <x v="0"/>
    <n v="1"/>
    <n v="45"/>
    <x v="47"/>
    <x v="14"/>
    <s v="small"/>
  </r>
  <r>
    <n v="10134"/>
    <d v="2023-09-16T00:00:00"/>
    <x v="0"/>
    <x v="1"/>
    <x v="3"/>
    <x v="0"/>
    <n v="7"/>
    <n v="45"/>
    <x v="36"/>
    <x v="2"/>
    <s v="small"/>
  </r>
  <r>
    <n v="10135"/>
    <d v="2023-12-25T00:00:00"/>
    <x v="3"/>
    <x v="4"/>
    <x v="3"/>
    <x v="0"/>
    <n v="5"/>
    <n v="45"/>
    <x v="26"/>
    <x v="10"/>
    <s v="small"/>
  </r>
  <r>
    <n v="10136"/>
    <d v="2024-03-31T00:00:00"/>
    <x v="4"/>
    <x v="0"/>
    <x v="0"/>
    <x v="0"/>
    <n v="5"/>
    <n v="75"/>
    <x v="35"/>
    <x v="1"/>
    <s v="small"/>
  </r>
  <r>
    <n v="10137"/>
    <d v="2024-02-15T00:00:00"/>
    <x v="4"/>
    <x v="3"/>
    <x v="0"/>
    <x v="0"/>
    <n v="14"/>
    <n v="75"/>
    <x v="51"/>
    <x v="12"/>
    <s v="medium"/>
  </r>
  <r>
    <n v="10138"/>
    <d v="2023-11-14T00:00:00"/>
    <x v="2"/>
    <x v="3"/>
    <x v="2"/>
    <x v="0"/>
    <n v="2"/>
    <n v="180"/>
    <x v="10"/>
    <x v="8"/>
    <s v="small"/>
  </r>
  <r>
    <n v="10139"/>
    <d v="2023-08-13T00:00:00"/>
    <x v="2"/>
    <x v="1"/>
    <x v="4"/>
    <x v="1"/>
    <n v="11"/>
    <n v="850"/>
    <x v="54"/>
    <x v="7"/>
    <s v="Large"/>
  </r>
  <r>
    <n v="10140"/>
    <d v="2023-08-22T00:00:00"/>
    <x v="4"/>
    <x v="2"/>
    <x v="2"/>
    <x v="0"/>
    <n v="3"/>
    <n v="180"/>
    <x v="18"/>
    <x v="7"/>
    <s v="medium"/>
  </r>
  <r>
    <n v="10141"/>
    <d v="2024-01-09T00:00:00"/>
    <x v="3"/>
    <x v="1"/>
    <x v="2"/>
    <x v="0"/>
    <n v="7"/>
    <n v="180"/>
    <x v="56"/>
    <x v="9"/>
    <s v="medium"/>
  </r>
  <r>
    <n v="10142"/>
    <d v="2024-04-16T00:00:00"/>
    <x v="4"/>
    <x v="2"/>
    <x v="0"/>
    <x v="0"/>
    <n v="6"/>
    <n v="75"/>
    <x v="20"/>
    <x v="6"/>
    <s v="small"/>
  </r>
  <r>
    <n v="10143"/>
    <d v="2023-08-21T00:00:00"/>
    <x v="3"/>
    <x v="4"/>
    <x v="3"/>
    <x v="0"/>
    <n v="12"/>
    <n v="45"/>
    <x v="18"/>
    <x v="7"/>
    <s v="medium"/>
  </r>
  <r>
    <n v="10144"/>
    <d v="2023-04-23T00:00:00"/>
    <x v="2"/>
    <x v="4"/>
    <x v="1"/>
    <x v="1"/>
    <n v="2"/>
    <n v="220"/>
    <x v="57"/>
    <x v="0"/>
    <s v="small"/>
  </r>
  <r>
    <n v="10145"/>
    <d v="2024-05-11T00:00:00"/>
    <x v="1"/>
    <x v="0"/>
    <x v="4"/>
    <x v="1"/>
    <n v="6"/>
    <n v="850"/>
    <x v="37"/>
    <x v="11"/>
    <s v="Large"/>
  </r>
  <r>
    <n v="10146"/>
    <d v="2024-03-17T00:00:00"/>
    <x v="2"/>
    <x v="2"/>
    <x v="0"/>
    <x v="0"/>
    <n v="2"/>
    <n v="75"/>
    <x v="16"/>
    <x v="1"/>
    <s v="small"/>
  </r>
  <r>
    <n v="10147"/>
    <d v="2023-09-25T00:00:00"/>
    <x v="2"/>
    <x v="0"/>
    <x v="3"/>
    <x v="0"/>
    <n v="2"/>
    <n v="45"/>
    <x v="23"/>
    <x v="2"/>
    <s v="small"/>
  </r>
  <r>
    <n v="10148"/>
    <d v="2024-05-24T00:00:00"/>
    <x v="0"/>
    <x v="3"/>
    <x v="1"/>
    <x v="1"/>
    <n v="2"/>
    <n v="220"/>
    <x v="57"/>
    <x v="11"/>
    <s v="small"/>
  </r>
  <r>
    <n v="10149"/>
    <d v="2024-01-21T00:00:00"/>
    <x v="0"/>
    <x v="2"/>
    <x v="1"/>
    <x v="1"/>
    <n v="14"/>
    <n v="220"/>
    <x v="1"/>
    <x v="9"/>
    <s v="Large"/>
  </r>
  <r>
    <n v="10150"/>
    <d v="2024-01-22T00:00:00"/>
    <x v="0"/>
    <x v="1"/>
    <x v="0"/>
    <x v="0"/>
    <n v="11"/>
    <n v="75"/>
    <x v="39"/>
    <x v="9"/>
    <s v="medium"/>
  </r>
  <r>
    <n v="10151"/>
    <d v="2023-04-23T00:00:00"/>
    <x v="0"/>
    <x v="3"/>
    <x v="5"/>
    <x v="0"/>
    <n v="3"/>
    <n v="30"/>
    <x v="23"/>
    <x v="0"/>
    <s v="small"/>
  </r>
  <r>
    <n v="10152"/>
    <d v="2023-03-22T00:00:00"/>
    <x v="3"/>
    <x v="3"/>
    <x v="4"/>
    <x v="1"/>
    <n v="2"/>
    <n v="850"/>
    <x v="55"/>
    <x v="3"/>
    <s v="medium"/>
  </r>
  <r>
    <n v="10153"/>
    <d v="2023-04-23T00:00:00"/>
    <x v="4"/>
    <x v="1"/>
    <x v="1"/>
    <x v="1"/>
    <n v="4"/>
    <n v="220"/>
    <x v="58"/>
    <x v="0"/>
    <s v="medium"/>
  </r>
  <r>
    <n v="10154"/>
    <d v="2023-01-02T00:00:00"/>
    <x v="1"/>
    <x v="3"/>
    <x v="0"/>
    <x v="0"/>
    <n v="9"/>
    <n v="75"/>
    <x v="8"/>
    <x v="4"/>
    <s v="medium"/>
  </r>
  <r>
    <n v="10155"/>
    <d v="2023-08-08T00:00:00"/>
    <x v="2"/>
    <x v="2"/>
    <x v="0"/>
    <x v="0"/>
    <n v="6"/>
    <n v="75"/>
    <x v="20"/>
    <x v="7"/>
    <s v="small"/>
  </r>
  <r>
    <n v="10156"/>
    <d v="2023-08-13T00:00:00"/>
    <x v="3"/>
    <x v="0"/>
    <x v="3"/>
    <x v="0"/>
    <n v="1"/>
    <n v="45"/>
    <x v="47"/>
    <x v="7"/>
    <s v="small"/>
  </r>
  <r>
    <n v="10157"/>
    <d v="2024-01-20T00:00:00"/>
    <x v="1"/>
    <x v="3"/>
    <x v="5"/>
    <x v="0"/>
    <n v="8"/>
    <n v="30"/>
    <x v="12"/>
    <x v="9"/>
    <s v="small"/>
  </r>
  <r>
    <n v="10158"/>
    <d v="2024-02-07T00:00:00"/>
    <x v="3"/>
    <x v="2"/>
    <x v="4"/>
    <x v="1"/>
    <n v="12"/>
    <n v="850"/>
    <x v="44"/>
    <x v="12"/>
    <s v="Large"/>
  </r>
  <r>
    <n v="10159"/>
    <d v="2023-05-10T00:00:00"/>
    <x v="3"/>
    <x v="4"/>
    <x v="2"/>
    <x v="0"/>
    <n v="14"/>
    <n v="180"/>
    <x v="59"/>
    <x v="5"/>
    <s v="Large"/>
  </r>
  <r>
    <n v="10160"/>
    <d v="2023-02-22T00:00:00"/>
    <x v="2"/>
    <x v="2"/>
    <x v="3"/>
    <x v="0"/>
    <n v="7"/>
    <n v="45"/>
    <x v="36"/>
    <x v="16"/>
    <s v="small"/>
  </r>
  <r>
    <n v="10161"/>
    <d v="2024-02-20T00:00:00"/>
    <x v="4"/>
    <x v="0"/>
    <x v="1"/>
    <x v="1"/>
    <n v="10"/>
    <n v="220"/>
    <x v="17"/>
    <x v="12"/>
    <s v="Large"/>
  </r>
  <r>
    <n v="10162"/>
    <d v="2023-09-04T00:00:00"/>
    <x v="0"/>
    <x v="2"/>
    <x v="1"/>
    <x v="1"/>
    <n v="3"/>
    <n v="220"/>
    <x v="46"/>
    <x v="2"/>
    <s v="medium"/>
  </r>
  <r>
    <n v="10163"/>
    <d v="2024-03-14T00:00:00"/>
    <x v="4"/>
    <x v="1"/>
    <x v="3"/>
    <x v="0"/>
    <n v="1"/>
    <n v="45"/>
    <x v="47"/>
    <x v="1"/>
    <s v="small"/>
  </r>
  <r>
    <n v="10164"/>
    <d v="2023-07-22T00:00:00"/>
    <x v="2"/>
    <x v="0"/>
    <x v="0"/>
    <x v="0"/>
    <n v="5"/>
    <n v="75"/>
    <x v="35"/>
    <x v="13"/>
    <s v="small"/>
  </r>
  <r>
    <n v="10165"/>
    <d v="2023-07-03T00:00:00"/>
    <x v="2"/>
    <x v="4"/>
    <x v="1"/>
    <x v="1"/>
    <n v="13"/>
    <n v="220"/>
    <x v="28"/>
    <x v="13"/>
    <s v="Large"/>
  </r>
  <r>
    <n v="10166"/>
    <d v="2023-05-03T00:00:00"/>
    <x v="2"/>
    <x v="1"/>
    <x v="5"/>
    <x v="0"/>
    <n v="4"/>
    <n v="30"/>
    <x v="27"/>
    <x v="5"/>
    <s v="small"/>
  </r>
  <r>
    <n v="10167"/>
    <d v="2024-02-05T00:00:00"/>
    <x v="1"/>
    <x v="2"/>
    <x v="4"/>
    <x v="1"/>
    <n v="10"/>
    <n v="850"/>
    <x v="60"/>
    <x v="12"/>
    <s v="Large"/>
  </r>
  <r>
    <n v="10168"/>
    <d v="2023-10-21T00:00:00"/>
    <x v="4"/>
    <x v="0"/>
    <x v="5"/>
    <x v="0"/>
    <n v="8"/>
    <n v="30"/>
    <x v="12"/>
    <x v="14"/>
    <s v="small"/>
  </r>
  <r>
    <n v="10169"/>
    <d v="2023-10-07T00:00:00"/>
    <x v="4"/>
    <x v="4"/>
    <x v="1"/>
    <x v="1"/>
    <n v="1"/>
    <n v="220"/>
    <x v="2"/>
    <x v="14"/>
    <s v="small"/>
  </r>
  <r>
    <n v="10170"/>
    <d v="2023-07-17T00:00:00"/>
    <x v="3"/>
    <x v="1"/>
    <x v="2"/>
    <x v="0"/>
    <n v="10"/>
    <n v="180"/>
    <x v="11"/>
    <x v="13"/>
    <s v="medium"/>
  </r>
  <r>
    <n v="10171"/>
    <d v="2024-05-25T00:00:00"/>
    <x v="3"/>
    <x v="4"/>
    <x v="4"/>
    <x v="1"/>
    <n v="1"/>
    <n v="850"/>
    <x v="38"/>
    <x v="11"/>
    <s v="medium"/>
  </r>
  <r>
    <n v="10172"/>
    <d v="2023-05-24T00:00:00"/>
    <x v="3"/>
    <x v="2"/>
    <x v="4"/>
    <x v="1"/>
    <n v="12"/>
    <n v="850"/>
    <x v="44"/>
    <x v="5"/>
    <s v="Large"/>
  </r>
  <r>
    <n v="10173"/>
    <d v="2023-07-20T00:00:00"/>
    <x v="2"/>
    <x v="4"/>
    <x v="3"/>
    <x v="0"/>
    <n v="4"/>
    <n v="45"/>
    <x v="19"/>
    <x v="13"/>
    <s v="small"/>
  </r>
  <r>
    <n v="10174"/>
    <d v="2023-05-04T00:00:00"/>
    <x v="4"/>
    <x v="3"/>
    <x v="3"/>
    <x v="0"/>
    <n v="8"/>
    <n v="45"/>
    <x v="10"/>
    <x v="5"/>
    <s v="small"/>
  </r>
  <r>
    <n v="10175"/>
    <d v="2023-07-06T00:00:00"/>
    <x v="2"/>
    <x v="1"/>
    <x v="2"/>
    <x v="0"/>
    <n v="5"/>
    <n v="180"/>
    <x v="3"/>
    <x v="13"/>
    <s v="medium"/>
  </r>
  <r>
    <n v="10176"/>
    <d v="2023-11-22T00:00:00"/>
    <x v="1"/>
    <x v="4"/>
    <x v="0"/>
    <x v="0"/>
    <n v="2"/>
    <n v="75"/>
    <x v="16"/>
    <x v="8"/>
    <s v="small"/>
  </r>
  <r>
    <n v="10177"/>
    <d v="2024-04-08T00:00:00"/>
    <x v="3"/>
    <x v="2"/>
    <x v="4"/>
    <x v="1"/>
    <n v="6"/>
    <n v="850"/>
    <x v="37"/>
    <x v="6"/>
    <s v="Large"/>
  </r>
  <r>
    <n v="10178"/>
    <d v="2023-12-15T00:00:00"/>
    <x v="2"/>
    <x v="2"/>
    <x v="2"/>
    <x v="0"/>
    <n v="5"/>
    <n v="180"/>
    <x v="3"/>
    <x v="10"/>
    <s v="medium"/>
  </r>
  <r>
    <n v="10179"/>
    <d v="2024-02-07T00:00:00"/>
    <x v="2"/>
    <x v="4"/>
    <x v="3"/>
    <x v="0"/>
    <n v="2"/>
    <n v="45"/>
    <x v="23"/>
    <x v="12"/>
    <s v="small"/>
  </r>
  <r>
    <n v="10180"/>
    <d v="2023-12-12T00:00:00"/>
    <x v="1"/>
    <x v="2"/>
    <x v="3"/>
    <x v="0"/>
    <n v="13"/>
    <n v="45"/>
    <x v="61"/>
    <x v="10"/>
    <s v="medium"/>
  </r>
  <r>
    <n v="10181"/>
    <d v="2024-05-25T00:00:00"/>
    <x v="0"/>
    <x v="0"/>
    <x v="4"/>
    <x v="1"/>
    <n v="14"/>
    <n v="850"/>
    <x v="30"/>
    <x v="11"/>
    <s v="Large"/>
  </r>
  <r>
    <n v="10182"/>
    <d v="2023-05-27T00:00:00"/>
    <x v="4"/>
    <x v="0"/>
    <x v="5"/>
    <x v="0"/>
    <n v="11"/>
    <n v="30"/>
    <x v="40"/>
    <x v="5"/>
    <s v="small"/>
  </r>
  <r>
    <n v="10183"/>
    <d v="2023-05-28T00:00:00"/>
    <x v="0"/>
    <x v="0"/>
    <x v="1"/>
    <x v="1"/>
    <n v="11"/>
    <n v="220"/>
    <x v="25"/>
    <x v="5"/>
    <s v="Large"/>
  </r>
  <r>
    <n v="10184"/>
    <d v="2024-05-03T00:00:00"/>
    <x v="3"/>
    <x v="3"/>
    <x v="3"/>
    <x v="0"/>
    <n v="11"/>
    <n v="45"/>
    <x v="62"/>
    <x v="11"/>
    <s v="small"/>
  </r>
  <r>
    <n v="10185"/>
    <d v="2023-12-04T00:00:00"/>
    <x v="2"/>
    <x v="4"/>
    <x v="0"/>
    <x v="0"/>
    <n v="3"/>
    <n v="75"/>
    <x v="26"/>
    <x v="10"/>
    <s v="small"/>
  </r>
  <r>
    <n v="10186"/>
    <d v="2024-04-17T00:00:00"/>
    <x v="1"/>
    <x v="3"/>
    <x v="0"/>
    <x v="0"/>
    <n v="9"/>
    <n v="75"/>
    <x v="8"/>
    <x v="6"/>
    <s v="medium"/>
  </r>
  <r>
    <n v="10187"/>
    <d v="2023-05-31T00:00:00"/>
    <x v="1"/>
    <x v="2"/>
    <x v="3"/>
    <x v="0"/>
    <n v="7"/>
    <n v="45"/>
    <x v="36"/>
    <x v="5"/>
    <s v="small"/>
  </r>
  <r>
    <n v="10188"/>
    <d v="2024-02-19T00:00:00"/>
    <x v="4"/>
    <x v="3"/>
    <x v="5"/>
    <x v="0"/>
    <n v="7"/>
    <n v="30"/>
    <x v="63"/>
    <x v="12"/>
    <s v="small"/>
  </r>
  <r>
    <n v="10189"/>
    <d v="2023-10-25T00:00:00"/>
    <x v="0"/>
    <x v="2"/>
    <x v="5"/>
    <x v="0"/>
    <n v="11"/>
    <n v="30"/>
    <x v="40"/>
    <x v="14"/>
    <s v="small"/>
  </r>
  <r>
    <n v="10190"/>
    <d v="2023-09-20T00:00:00"/>
    <x v="4"/>
    <x v="2"/>
    <x v="2"/>
    <x v="0"/>
    <n v="6"/>
    <n v="180"/>
    <x v="13"/>
    <x v="2"/>
    <s v="medium"/>
  </r>
  <r>
    <n v="10191"/>
    <d v="2023-05-24T00:00:00"/>
    <x v="2"/>
    <x v="1"/>
    <x v="0"/>
    <x v="0"/>
    <n v="8"/>
    <n v="75"/>
    <x v="53"/>
    <x v="5"/>
    <s v="medium"/>
  </r>
  <r>
    <n v="10192"/>
    <d v="2023-12-12T00:00:00"/>
    <x v="4"/>
    <x v="0"/>
    <x v="2"/>
    <x v="0"/>
    <n v="4"/>
    <n v="180"/>
    <x v="64"/>
    <x v="10"/>
    <s v="medium"/>
  </r>
  <r>
    <n v="10193"/>
    <d v="2023-01-02T00:00:00"/>
    <x v="1"/>
    <x v="2"/>
    <x v="0"/>
    <x v="0"/>
    <n v="8"/>
    <n v="75"/>
    <x v="53"/>
    <x v="4"/>
    <s v="medium"/>
  </r>
  <r>
    <n v="10194"/>
    <d v="2023-10-31T00:00:00"/>
    <x v="1"/>
    <x v="1"/>
    <x v="1"/>
    <x v="1"/>
    <n v="4"/>
    <n v="220"/>
    <x v="58"/>
    <x v="14"/>
    <s v="medium"/>
  </r>
  <r>
    <n v="10195"/>
    <d v="2023-09-11T00:00:00"/>
    <x v="3"/>
    <x v="0"/>
    <x v="1"/>
    <x v="1"/>
    <n v="8"/>
    <n v="220"/>
    <x v="33"/>
    <x v="2"/>
    <s v="medium"/>
  </r>
  <r>
    <n v="10196"/>
    <d v="2024-03-28T00:00:00"/>
    <x v="3"/>
    <x v="2"/>
    <x v="4"/>
    <x v="1"/>
    <n v="9"/>
    <n v="850"/>
    <x v="65"/>
    <x v="1"/>
    <s v="Large"/>
  </r>
  <r>
    <n v="10197"/>
    <d v="2023-02-06T00:00:00"/>
    <x v="2"/>
    <x v="2"/>
    <x v="2"/>
    <x v="0"/>
    <n v="3"/>
    <n v="180"/>
    <x v="18"/>
    <x v="16"/>
    <s v="medium"/>
  </r>
  <r>
    <n v="10198"/>
    <d v="2023-06-09T00:00:00"/>
    <x v="0"/>
    <x v="3"/>
    <x v="3"/>
    <x v="0"/>
    <n v="3"/>
    <n v="45"/>
    <x v="50"/>
    <x v="15"/>
    <s v="small"/>
  </r>
  <r>
    <n v="10199"/>
    <d v="2023-01-09T00:00:00"/>
    <x v="4"/>
    <x v="3"/>
    <x v="2"/>
    <x v="0"/>
    <n v="11"/>
    <n v="180"/>
    <x v="9"/>
    <x v="4"/>
    <s v="medium"/>
  </r>
  <r>
    <n v="10200"/>
    <d v="2023-08-21T00:00:00"/>
    <x v="2"/>
    <x v="0"/>
    <x v="3"/>
    <x v="0"/>
    <n v="13"/>
    <n v="45"/>
    <x v="61"/>
    <x v="7"/>
    <s v="medium"/>
  </r>
  <r>
    <n v="10201"/>
    <d v="2023-04-09T00:00:00"/>
    <x v="3"/>
    <x v="2"/>
    <x v="5"/>
    <x v="0"/>
    <n v="2"/>
    <n v="30"/>
    <x v="32"/>
    <x v="0"/>
    <s v="small"/>
  </r>
  <r>
    <n v="10202"/>
    <d v="2023-07-27T00:00:00"/>
    <x v="4"/>
    <x v="4"/>
    <x v="2"/>
    <x v="0"/>
    <n v="13"/>
    <n v="180"/>
    <x v="66"/>
    <x v="13"/>
    <s v="Large"/>
  </r>
  <r>
    <n v="10203"/>
    <d v="2023-05-11T00:00:00"/>
    <x v="3"/>
    <x v="3"/>
    <x v="5"/>
    <x v="0"/>
    <n v="10"/>
    <n v="30"/>
    <x v="21"/>
    <x v="5"/>
    <s v="small"/>
  </r>
  <r>
    <n v="10204"/>
    <d v="2024-02-08T00:00:00"/>
    <x v="4"/>
    <x v="0"/>
    <x v="1"/>
    <x v="1"/>
    <n v="3"/>
    <n v="220"/>
    <x v="46"/>
    <x v="12"/>
    <s v="medium"/>
  </r>
  <r>
    <n v="10205"/>
    <d v="2023-06-01T00:00:00"/>
    <x v="0"/>
    <x v="2"/>
    <x v="1"/>
    <x v="1"/>
    <n v="3"/>
    <n v="220"/>
    <x v="46"/>
    <x v="15"/>
    <s v="medium"/>
  </r>
  <r>
    <n v="10206"/>
    <d v="2023-02-23T00:00:00"/>
    <x v="2"/>
    <x v="2"/>
    <x v="4"/>
    <x v="1"/>
    <n v="5"/>
    <n v="850"/>
    <x v="42"/>
    <x v="16"/>
    <s v="Large"/>
  </r>
  <r>
    <n v="10207"/>
    <d v="2023-04-30T00:00:00"/>
    <x v="4"/>
    <x v="4"/>
    <x v="2"/>
    <x v="0"/>
    <n v="5"/>
    <n v="180"/>
    <x v="3"/>
    <x v="0"/>
    <s v="medium"/>
  </r>
  <r>
    <n v="10208"/>
    <d v="2024-02-24T00:00:00"/>
    <x v="1"/>
    <x v="0"/>
    <x v="5"/>
    <x v="0"/>
    <n v="2"/>
    <n v="30"/>
    <x v="32"/>
    <x v="12"/>
    <s v="small"/>
  </r>
  <r>
    <n v="10209"/>
    <d v="2024-02-26T00:00:00"/>
    <x v="1"/>
    <x v="2"/>
    <x v="3"/>
    <x v="0"/>
    <n v="12"/>
    <n v="45"/>
    <x v="18"/>
    <x v="12"/>
    <s v="medium"/>
  </r>
  <r>
    <n v="10210"/>
    <d v="2023-04-14T00:00:00"/>
    <x v="4"/>
    <x v="3"/>
    <x v="1"/>
    <x v="1"/>
    <n v="10"/>
    <n v="220"/>
    <x v="17"/>
    <x v="0"/>
    <s v="Large"/>
  </r>
  <r>
    <n v="10211"/>
    <d v="2023-09-11T00:00:00"/>
    <x v="4"/>
    <x v="4"/>
    <x v="1"/>
    <x v="1"/>
    <n v="13"/>
    <n v="220"/>
    <x v="28"/>
    <x v="2"/>
    <s v="Large"/>
  </r>
  <r>
    <n v="10212"/>
    <d v="2023-08-15T00:00:00"/>
    <x v="4"/>
    <x v="0"/>
    <x v="3"/>
    <x v="0"/>
    <n v="6"/>
    <n v="45"/>
    <x v="4"/>
    <x v="7"/>
    <s v="small"/>
  </r>
  <r>
    <n v="10213"/>
    <d v="2023-04-22T00:00:00"/>
    <x v="1"/>
    <x v="4"/>
    <x v="5"/>
    <x v="0"/>
    <n v="5"/>
    <n v="30"/>
    <x v="16"/>
    <x v="0"/>
    <s v="small"/>
  </r>
  <r>
    <n v="10214"/>
    <d v="2024-05-24T00:00:00"/>
    <x v="1"/>
    <x v="3"/>
    <x v="5"/>
    <x v="0"/>
    <n v="6"/>
    <n v="30"/>
    <x v="19"/>
    <x v="11"/>
    <s v="small"/>
  </r>
  <r>
    <n v="10215"/>
    <d v="2024-04-17T00:00:00"/>
    <x v="4"/>
    <x v="0"/>
    <x v="2"/>
    <x v="0"/>
    <n v="1"/>
    <n v="180"/>
    <x v="19"/>
    <x v="6"/>
    <s v="small"/>
  </r>
  <r>
    <n v="10216"/>
    <d v="2023-04-09T00:00:00"/>
    <x v="3"/>
    <x v="4"/>
    <x v="2"/>
    <x v="0"/>
    <n v="5"/>
    <n v="180"/>
    <x v="3"/>
    <x v="0"/>
    <s v="medium"/>
  </r>
  <r>
    <n v="10217"/>
    <d v="2023-06-02T00:00:00"/>
    <x v="3"/>
    <x v="1"/>
    <x v="0"/>
    <x v="0"/>
    <n v="9"/>
    <n v="75"/>
    <x v="8"/>
    <x v="15"/>
    <s v="medium"/>
  </r>
  <r>
    <n v="10218"/>
    <d v="2023-12-04T00:00:00"/>
    <x v="0"/>
    <x v="3"/>
    <x v="0"/>
    <x v="0"/>
    <n v="12"/>
    <n v="75"/>
    <x v="3"/>
    <x v="10"/>
    <s v="medium"/>
  </r>
  <r>
    <n v="10219"/>
    <d v="2023-06-12T00:00:00"/>
    <x v="2"/>
    <x v="3"/>
    <x v="4"/>
    <x v="1"/>
    <n v="10"/>
    <n v="850"/>
    <x v="60"/>
    <x v="15"/>
    <s v="Large"/>
  </r>
  <r>
    <n v="10220"/>
    <d v="2023-06-10T00:00:00"/>
    <x v="3"/>
    <x v="3"/>
    <x v="1"/>
    <x v="1"/>
    <n v="14"/>
    <n v="220"/>
    <x v="1"/>
    <x v="15"/>
    <s v="Large"/>
  </r>
  <r>
    <n v="10221"/>
    <d v="2024-02-02T00:00:00"/>
    <x v="1"/>
    <x v="1"/>
    <x v="2"/>
    <x v="0"/>
    <n v="2"/>
    <n v="180"/>
    <x v="10"/>
    <x v="12"/>
    <s v="small"/>
  </r>
  <r>
    <n v="10222"/>
    <d v="2023-10-04T00:00:00"/>
    <x v="3"/>
    <x v="1"/>
    <x v="5"/>
    <x v="0"/>
    <n v="1"/>
    <n v="30"/>
    <x v="67"/>
    <x v="14"/>
    <s v="small"/>
  </r>
  <r>
    <n v="10223"/>
    <d v="2024-05-18T00:00:00"/>
    <x v="0"/>
    <x v="2"/>
    <x v="3"/>
    <x v="0"/>
    <n v="14"/>
    <n v="45"/>
    <x v="48"/>
    <x v="11"/>
    <s v="medium"/>
  </r>
  <r>
    <n v="10224"/>
    <d v="2024-01-27T00:00:00"/>
    <x v="0"/>
    <x v="4"/>
    <x v="5"/>
    <x v="0"/>
    <n v="10"/>
    <n v="30"/>
    <x v="21"/>
    <x v="9"/>
    <s v="small"/>
  </r>
  <r>
    <n v="10225"/>
    <d v="2023-05-15T00:00:00"/>
    <x v="2"/>
    <x v="2"/>
    <x v="1"/>
    <x v="1"/>
    <n v="13"/>
    <n v="220"/>
    <x v="28"/>
    <x v="5"/>
    <s v="Large"/>
  </r>
  <r>
    <n v="10226"/>
    <d v="2023-07-14T00:00:00"/>
    <x v="3"/>
    <x v="4"/>
    <x v="0"/>
    <x v="0"/>
    <n v="11"/>
    <n v="75"/>
    <x v="39"/>
    <x v="13"/>
    <s v="medium"/>
  </r>
  <r>
    <n v="10227"/>
    <d v="2024-02-05T00:00:00"/>
    <x v="1"/>
    <x v="1"/>
    <x v="5"/>
    <x v="0"/>
    <n v="9"/>
    <n v="30"/>
    <x v="4"/>
    <x v="12"/>
    <s v="small"/>
  </r>
  <r>
    <n v="10228"/>
    <d v="2023-02-02T00:00:00"/>
    <x v="1"/>
    <x v="1"/>
    <x v="4"/>
    <x v="1"/>
    <n v="10"/>
    <n v="850"/>
    <x v="60"/>
    <x v="16"/>
    <s v="Large"/>
  </r>
  <r>
    <n v="10229"/>
    <d v="2024-04-04T00:00:00"/>
    <x v="4"/>
    <x v="2"/>
    <x v="1"/>
    <x v="1"/>
    <n v="9"/>
    <n v="220"/>
    <x v="9"/>
    <x v="6"/>
    <s v="medium"/>
  </r>
  <r>
    <n v="10230"/>
    <d v="2024-04-14T00:00:00"/>
    <x v="1"/>
    <x v="0"/>
    <x v="0"/>
    <x v="0"/>
    <n v="9"/>
    <n v="75"/>
    <x v="8"/>
    <x v="6"/>
    <s v="medium"/>
  </r>
  <r>
    <n v="10231"/>
    <d v="2024-01-10T00:00:00"/>
    <x v="2"/>
    <x v="2"/>
    <x v="3"/>
    <x v="0"/>
    <n v="6"/>
    <n v="45"/>
    <x v="4"/>
    <x v="9"/>
    <s v="small"/>
  </r>
  <r>
    <n v="10232"/>
    <d v="2023-01-22T00:00:00"/>
    <x v="2"/>
    <x v="4"/>
    <x v="0"/>
    <x v="0"/>
    <n v="8"/>
    <n v="75"/>
    <x v="53"/>
    <x v="4"/>
    <s v="medium"/>
  </r>
  <r>
    <n v="10233"/>
    <d v="2023-02-07T00:00:00"/>
    <x v="1"/>
    <x v="2"/>
    <x v="4"/>
    <x v="1"/>
    <n v="14"/>
    <n v="850"/>
    <x v="30"/>
    <x v="16"/>
    <s v="Large"/>
  </r>
  <r>
    <n v="10234"/>
    <d v="2023-08-18T00:00:00"/>
    <x v="1"/>
    <x v="3"/>
    <x v="1"/>
    <x v="1"/>
    <n v="11"/>
    <n v="220"/>
    <x v="25"/>
    <x v="7"/>
    <s v="Large"/>
  </r>
  <r>
    <n v="10235"/>
    <d v="2023-12-31T00:00:00"/>
    <x v="4"/>
    <x v="4"/>
    <x v="3"/>
    <x v="0"/>
    <n v="13"/>
    <n v="45"/>
    <x v="61"/>
    <x v="10"/>
    <s v="medium"/>
  </r>
  <r>
    <n v="10236"/>
    <d v="2024-03-13T00:00:00"/>
    <x v="1"/>
    <x v="4"/>
    <x v="4"/>
    <x v="1"/>
    <n v="1"/>
    <n v="850"/>
    <x v="38"/>
    <x v="1"/>
    <s v="medium"/>
  </r>
  <r>
    <n v="10237"/>
    <d v="2023-10-10T00:00:00"/>
    <x v="4"/>
    <x v="0"/>
    <x v="0"/>
    <x v="0"/>
    <n v="10"/>
    <n v="75"/>
    <x v="68"/>
    <x v="14"/>
    <s v="medium"/>
  </r>
  <r>
    <n v="10238"/>
    <d v="2023-01-27T00:00:00"/>
    <x v="4"/>
    <x v="1"/>
    <x v="4"/>
    <x v="1"/>
    <n v="4"/>
    <n v="850"/>
    <x v="69"/>
    <x v="4"/>
    <s v="Large"/>
  </r>
  <r>
    <n v="10239"/>
    <d v="2023-08-14T00:00:00"/>
    <x v="1"/>
    <x v="4"/>
    <x v="1"/>
    <x v="1"/>
    <n v="1"/>
    <n v="220"/>
    <x v="2"/>
    <x v="7"/>
    <s v="small"/>
  </r>
  <r>
    <n v="10240"/>
    <d v="2023-10-04T00:00:00"/>
    <x v="0"/>
    <x v="1"/>
    <x v="2"/>
    <x v="0"/>
    <n v="8"/>
    <n v="180"/>
    <x v="15"/>
    <x v="14"/>
    <s v="medium"/>
  </r>
  <r>
    <n v="10241"/>
    <d v="2023-10-11T00:00:00"/>
    <x v="0"/>
    <x v="2"/>
    <x v="4"/>
    <x v="1"/>
    <n v="1"/>
    <n v="850"/>
    <x v="38"/>
    <x v="14"/>
    <s v="medium"/>
  </r>
  <r>
    <n v="10242"/>
    <d v="2024-04-25T00:00:00"/>
    <x v="4"/>
    <x v="3"/>
    <x v="4"/>
    <x v="1"/>
    <n v="3"/>
    <n v="850"/>
    <x v="6"/>
    <x v="6"/>
    <s v="Large"/>
  </r>
  <r>
    <n v="10243"/>
    <d v="2024-03-28T00:00:00"/>
    <x v="1"/>
    <x v="0"/>
    <x v="0"/>
    <x v="0"/>
    <n v="13"/>
    <n v="75"/>
    <x v="29"/>
    <x v="1"/>
    <s v="medium"/>
  </r>
  <r>
    <n v="10244"/>
    <d v="2024-05-30T00:00:00"/>
    <x v="0"/>
    <x v="1"/>
    <x v="0"/>
    <x v="0"/>
    <n v="4"/>
    <n v="75"/>
    <x v="21"/>
    <x v="11"/>
    <s v="small"/>
  </r>
  <r>
    <n v="10245"/>
    <d v="2024-06-30T00:00:00"/>
    <x v="1"/>
    <x v="4"/>
    <x v="3"/>
    <x v="0"/>
    <n v="8"/>
    <n v="45"/>
    <x v="10"/>
    <x v="17"/>
    <s v="small"/>
  </r>
  <r>
    <n v="10246"/>
    <d v="2023-07-11T00:00:00"/>
    <x v="1"/>
    <x v="1"/>
    <x v="0"/>
    <x v="0"/>
    <n v="6"/>
    <n v="75"/>
    <x v="20"/>
    <x v="13"/>
    <s v="small"/>
  </r>
  <r>
    <n v="10247"/>
    <d v="2023-02-18T00:00:00"/>
    <x v="1"/>
    <x v="4"/>
    <x v="5"/>
    <x v="0"/>
    <n v="14"/>
    <n v="30"/>
    <x v="49"/>
    <x v="16"/>
    <s v="small"/>
  </r>
  <r>
    <n v="10248"/>
    <d v="2024-05-26T00:00:00"/>
    <x v="3"/>
    <x v="1"/>
    <x v="1"/>
    <x v="1"/>
    <n v="10"/>
    <n v="220"/>
    <x v="17"/>
    <x v="11"/>
    <s v="Large"/>
  </r>
  <r>
    <n v="10249"/>
    <d v="2023-01-17T00:00:00"/>
    <x v="1"/>
    <x v="4"/>
    <x v="1"/>
    <x v="1"/>
    <n v="12"/>
    <n v="220"/>
    <x v="22"/>
    <x v="4"/>
    <s v="Large"/>
  </r>
  <r>
    <n v="10250"/>
    <d v="2023-06-21T00:00:00"/>
    <x v="3"/>
    <x v="2"/>
    <x v="2"/>
    <x v="0"/>
    <n v="7"/>
    <n v="180"/>
    <x v="56"/>
    <x v="15"/>
    <s v="medium"/>
  </r>
  <r>
    <n v="10251"/>
    <d v="2023-08-08T00:00:00"/>
    <x v="4"/>
    <x v="4"/>
    <x v="2"/>
    <x v="0"/>
    <n v="14"/>
    <n v="180"/>
    <x v="59"/>
    <x v="7"/>
    <s v="Large"/>
  </r>
  <r>
    <n v="10252"/>
    <d v="2023-06-07T00:00:00"/>
    <x v="0"/>
    <x v="4"/>
    <x v="1"/>
    <x v="1"/>
    <n v="8"/>
    <n v="220"/>
    <x v="33"/>
    <x v="15"/>
    <s v="medium"/>
  </r>
  <r>
    <n v="10253"/>
    <d v="2024-04-21T00:00:00"/>
    <x v="0"/>
    <x v="3"/>
    <x v="2"/>
    <x v="0"/>
    <n v="2"/>
    <n v="180"/>
    <x v="10"/>
    <x v="6"/>
    <s v="small"/>
  </r>
  <r>
    <n v="10254"/>
    <d v="2023-02-15T00:00:00"/>
    <x v="0"/>
    <x v="4"/>
    <x v="3"/>
    <x v="0"/>
    <n v="13"/>
    <n v="45"/>
    <x v="61"/>
    <x v="16"/>
    <s v="medium"/>
  </r>
  <r>
    <n v="10255"/>
    <d v="2024-01-08T00:00:00"/>
    <x v="0"/>
    <x v="3"/>
    <x v="0"/>
    <x v="0"/>
    <n v="10"/>
    <n v="75"/>
    <x v="68"/>
    <x v="9"/>
    <s v="medium"/>
  </r>
  <r>
    <n v="10256"/>
    <d v="2024-06-01T00:00:00"/>
    <x v="0"/>
    <x v="0"/>
    <x v="1"/>
    <x v="1"/>
    <n v="14"/>
    <n v="220"/>
    <x v="1"/>
    <x v="17"/>
    <s v="Large"/>
  </r>
  <r>
    <n v="10257"/>
    <d v="2023-04-09T00:00:00"/>
    <x v="0"/>
    <x v="3"/>
    <x v="2"/>
    <x v="0"/>
    <n v="11"/>
    <n v="180"/>
    <x v="9"/>
    <x v="0"/>
    <s v="medium"/>
  </r>
  <r>
    <n v="10258"/>
    <d v="2023-02-06T00:00:00"/>
    <x v="0"/>
    <x v="2"/>
    <x v="1"/>
    <x v="1"/>
    <n v="8"/>
    <n v="220"/>
    <x v="33"/>
    <x v="16"/>
    <s v="medium"/>
  </r>
  <r>
    <n v="10259"/>
    <d v="2023-10-07T00:00:00"/>
    <x v="4"/>
    <x v="3"/>
    <x v="5"/>
    <x v="0"/>
    <n v="3"/>
    <n v="30"/>
    <x v="23"/>
    <x v="14"/>
    <s v="small"/>
  </r>
  <r>
    <n v="10260"/>
    <d v="2023-12-15T00:00:00"/>
    <x v="1"/>
    <x v="0"/>
    <x v="4"/>
    <x v="1"/>
    <n v="7"/>
    <n v="850"/>
    <x v="70"/>
    <x v="10"/>
    <s v="Large"/>
  </r>
  <r>
    <n v="10261"/>
    <d v="2024-05-11T00:00:00"/>
    <x v="2"/>
    <x v="2"/>
    <x v="0"/>
    <x v="0"/>
    <n v="3"/>
    <n v="75"/>
    <x v="26"/>
    <x v="11"/>
    <s v="small"/>
  </r>
  <r>
    <n v="10262"/>
    <d v="2023-10-29T00:00:00"/>
    <x v="3"/>
    <x v="1"/>
    <x v="1"/>
    <x v="1"/>
    <n v="7"/>
    <n v="220"/>
    <x v="43"/>
    <x v="14"/>
    <s v="medium"/>
  </r>
  <r>
    <n v="10263"/>
    <d v="2023-06-30T00:00:00"/>
    <x v="2"/>
    <x v="1"/>
    <x v="4"/>
    <x v="1"/>
    <n v="14"/>
    <n v="850"/>
    <x v="30"/>
    <x v="15"/>
    <s v="Large"/>
  </r>
  <r>
    <n v="10264"/>
    <d v="2023-04-09T00:00:00"/>
    <x v="2"/>
    <x v="3"/>
    <x v="2"/>
    <x v="0"/>
    <n v="11"/>
    <n v="180"/>
    <x v="9"/>
    <x v="0"/>
    <s v="medium"/>
  </r>
  <r>
    <n v="10265"/>
    <d v="2023-04-26T00:00:00"/>
    <x v="1"/>
    <x v="3"/>
    <x v="4"/>
    <x v="1"/>
    <n v="12"/>
    <n v="850"/>
    <x v="44"/>
    <x v="0"/>
    <s v="Large"/>
  </r>
  <r>
    <n v="10266"/>
    <d v="2023-07-10T00:00:00"/>
    <x v="1"/>
    <x v="0"/>
    <x v="0"/>
    <x v="0"/>
    <n v="13"/>
    <n v="75"/>
    <x v="29"/>
    <x v="13"/>
    <s v="medium"/>
  </r>
  <r>
    <n v="10267"/>
    <d v="2023-09-10T00:00:00"/>
    <x v="1"/>
    <x v="0"/>
    <x v="1"/>
    <x v="1"/>
    <n v="2"/>
    <n v="220"/>
    <x v="57"/>
    <x v="2"/>
    <s v="small"/>
  </r>
  <r>
    <n v="10268"/>
    <d v="2023-06-10T00:00:00"/>
    <x v="0"/>
    <x v="4"/>
    <x v="5"/>
    <x v="0"/>
    <n v="10"/>
    <n v="30"/>
    <x v="21"/>
    <x v="15"/>
    <s v="small"/>
  </r>
  <r>
    <n v="10269"/>
    <d v="2023-09-13T00:00:00"/>
    <x v="4"/>
    <x v="0"/>
    <x v="2"/>
    <x v="0"/>
    <n v="6"/>
    <n v="180"/>
    <x v="13"/>
    <x v="2"/>
    <s v="medium"/>
  </r>
  <r>
    <n v="10270"/>
    <d v="2023-11-19T00:00:00"/>
    <x v="0"/>
    <x v="4"/>
    <x v="1"/>
    <x v="1"/>
    <n v="3"/>
    <n v="220"/>
    <x v="46"/>
    <x v="8"/>
    <s v="medium"/>
  </r>
  <r>
    <n v="10271"/>
    <d v="2023-05-08T00:00:00"/>
    <x v="4"/>
    <x v="2"/>
    <x v="0"/>
    <x v="0"/>
    <n v="3"/>
    <n v="75"/>
    <x v="26"/>
    <x v="5"/>
    <s v="small"/>
  </r>
  <r>
    <n v="10272"/>
    <d v="2023-01-18T00:00:00"/>
    <x v="4"/>
    <x v="3"/>
    <x v="2"/>
    <x v="0"/>
    <n v="9"/>
    <n v="180"/>
    <x v="41"/>
    <x v="4"/>
    <s v="medium"/>
  </r>
  <r>
    <n v="10273"/>
    <d v="2023-11-19T00:00:00"/>
    <x v="2"/>
    <x v="2"/>
    <x v="3"/>
    <x v="0"/>
    <n v="7"/>
    <n v="45"/>
    <x v="36"/>
    <x v="8"/>
    <s v="small"/>
  </r>
  <r>
    <n v="10274"/>
    <d v="2023-10-15T00:00:00"/>
    <x v="2"/>
    <x v="0"/>
    <x v="4"/>
    <x v="1"/>
    <n v="5"/>
    <n v="850"/>
    <x v="42"/>
    <x v="14"/>
    <s v="Large"/>
  </r>
  <r>
    <n v="10275"/>
    <d v="2023-06-04T00:00:00"/>
    <x v="4"/>
    <x v="2"/>
    <x v="0"/>
    <x v="0"/>
    <n v="12"/>
    <n v="75"/>
    <x v="3"/>
    <x v="15"/>
    <s v="medium"/>
  </r>
  <r>
    <n v="10276"/>
    <d v="2024-05-04T00:00:00"/>
    <x v="4"/>
    <x v="2"/>
    <x v="3"/>
    <x v="0"/>
    <n v="10"/>
    <n v="45"/>
    <x v="20"/>
    <x v="11"/>
    <s v="small"/>
  </r>
  <r>
    <n v="10277"/>
    <d v="2024-01-21T00:00:00"/>
    <x v="0"/>
    <x v="2"/>
    <x v="1"/>
    <x v="1"/>
    <n v="7"/>
    <n v="220"/>
    <x v="43"/>
    <x v="9"/>
    <s v="medium"/>
  </r>
  <r>
    <n v="10278"/>
    <d v="2023-04-14T00:00:00"/>
    <x v="0"/>
    <x v="0"/>
    <x v="5"/>
    <x v="0"/>
    <n v="9"/>
    <n v="30"/>
    <x v="4"/>
    <x v="0"/>
    <s v="small"/>
  </r>
  <r>
    <n v="10279"/>
    <d v="2024-01-28T00:00:00"/>
    <x v="2"/>
    <x v="2"/>
    <x v="2"/>
    <x v="0"/>
    <n v="1"/>
    <n v="180"/>
    <x v="19"/>
    <x v="9"/>
    <s v="small"/>
  </r>
  <r>
    <n v="10280"/>
    <d v="2023-09-03T00:00:00"/>
    <x v="1"/>
    <x v="4"/>
    <x v="4"/>
    <x v="1"/>
    <n v="7"/>
    <n v="850"/>
    <x v="70"/>
    <x v="2"/>
    <s v="Large"/>
  </r>
  <r>
    <n v="10281"/>
    <d v="2023-06-25T00:00:00"/>
    <x v="4"/>
    <x v="0"/>
    <x v="2"/>
    <x v="0"/>
    <n v="6"/>
    <n v="180"/>
    <x v="13"/>
    <x v="15"/>
    <s v="medium"/>
  </r>
  <r>
    <n v="10282"/>
    <d v="2023-02-08T00:00:00"/>
    <x v="0"/>
    <x v="2"/>
    <x v="1"/>
    <x v="1"/>
    <n v="10"/>
    <n v="220"/>
    <x v="17"/>
    <x v="16"/>
    <s v="Large"/>
  </r>
  <r>
    <n v="10283"/>
    <d v="2024-04-21T00:00:00"/>
    <x v="2"/>
    <x v="0"/>
    <x v="2"/>
    <x v="0"/>
    <n v="14"/>
    <n v="180"/>
    <x v="59"/>
    <x v="6"/>
    <s v="Large"/>
  </r>
  <r>
    <n v="10284"/>
    <d v="2024-06-21T00:00:00"/>
    <x v="0"/>
    <x v="1"/>
    <x v="4"/>
    <x v="1"/>
    <n v="12"/>
    <n v="850"/>
    <x v="44"/>
    <x v="17"/>
    <s v="Large"/>
  </r>
  <r>
    <n v="10285"/>
    <d v="2024-02-12T00:00:00"/>
    <x v="4"/>
    <x v="4"/>
    <x v="1"/>
    <x v="1"/>
    <n v="9"/>
    <n v="220"/>
    <x v="9"/>
    <x v="12"/>
    <s v="medium"/>
  </r>
  <r>
    <n v="10286"/>
    <d v="2024-06-08T00:00:00"/>
    <x v="4"/>
    <x v="2"/>
    <x v="2"/>
    <x v="0"/>
    <n v="1"/>
    <n v="180"/>
    <x v="19"/>
    <x v="17"/>
    <s v="small"/>
  </r>
  <r>
    <n v="10287"/>
    <d v="2024-05-20T00:00:00"/>
    <x v="3"/>
    <x v="1"/>
    <x v="5"/>
    <x v="0"/>
    <n v="13"/>
    <n v="30"/>
    <x v="31"/>
    <x v="11"/>
    <s v="small"/>
  </r>
  <r>
    <n v="10288"/>
    <d v="2023-02-05T00:00:00"/>
    <x v="1"/>
    <x v="1"/>
    <x v="0"/>
    <x v="0"/>
    <n v="4"/>
    <n v="75"/>
    <x v="21"/>
    <x v="16"/>
    <s v="small"/>
  </r>
  <r>
    <n v="10289"/>
    <d v="2023-01-20T00:00:00"/>
    <x v="3"/>
    <x v="0"/>
    <x v="1"/>
    <x v="1"/>
    <n v="9"/>
    <n v="220"/>
    <x v="9"/>
    <x v="4"/>
    <s v="medium"/>
  </r>
  <r>
    <n v="10290"/>
    <d v="2023-11-17T00:00:00"/>
    <x v="2"/>
    <x v="1"/>
    <x v="0"/>
    <x v="0"/>
    <n v="4"/>
    <n v="75"/>
    <x v="21"/>
    <x v="8"/>
    <s v="small"/>
  </r>
  <r>
    <n v="10291"/>
    <d v="2024-05-26T00:00:00"/>
    <x v="0"/>
    <x v="4"/>
    <x v="1"/>
    <x v="1"/>
    <n v="10"/>
    <n v="220"/>
    <x v="17"/>
    <x v="11"/>
    <s v="Large"/>
  </r>
  <r>
    <n v="10292"/>
    <d v="2024-02-04T00:00:00"/>
    <x v="2"/>
    <x v="4"/>
    <x v="5"/>
    <x v="0"/>
    <n v="3"/>
    <n v="30"/>
    <x v="23"/>
    <x v="12"/>
    <s v="small"/>
  </r>
  <r>
    <n v="10293"/>
    <d v="2024-04-15T00:00:00"/>
    <x v="4"/>
    <x v="3"/>
    <x v="0"/>
    <x v="0"/>
    <n v="9"/>
    <n v="75"/>
    <x v="8"/>
    <x v="6"/>
    <s v="medium"/>
  </r>
  <r>
    <n v="10294"/>
    <d v="2023-05-23T00:00:00"/>
    <x v="3"/>
    <x v="4"/>
    <x v="3"/>
    <x v="0"/>
    <n v="13"/>
    <n v="45"/>
    <x v="61"/>
    <x v="5"/>
    <s v="medium"/>
  </r>
  <r>
    <n v="10295"/>
    <d v="2023-04-02T00:00:00"/>
    <x v="3"/>
    <x v="1"/>
    <x v="4"/>
    <x v="1"/>
    <n v="2"/>
    <n v="850"/>
    <x v="55"/>
    <x v="0"/>
    <s v="medium"/>
  </r>
  <r>
    <n v="10296"/>
    <d v="2023-12-20T00:00:00"/>
    <x v="3"/>
    <x v="4"/>
    <x v="3"/>
    <x v="0"/>
    <n v="4"/>
    <n v="45"/>
    <x v="19"/>
    <x v="10"/>
    <s v="small"/>
  </r>
  <r>
    <n v="10297"/>
    <d v="2023-02-20T00:00:00"/>
    <x v="2"/>
    <x v="0"/>
    <x v="2"/>
    <x v="0"/>
    <n v="6"/>
    <n v="180"/>
    <x v="13"/>
    <x v="16"/>
    <s v="medium"/>
  </r>
  <r>
    <n v="10298"/>
    <d v="2023-07-09T00:00:00"/>
    <x v="4"/>
    <x v="3"/>
    <x v="5"/>
    <x v="0"/>
    <n v="2"/>
    <n v="30"/>
    <x v="32"/>
    <x v="13"/>
    <s v="small"/>
  </r>
  <r>
    <n v="10299"/>
    <d v="2023-05-05T00:00:00"/>
    <x v="0"/>
    <x v="1"/>
    <x v="3"/>
    <x v="0"/>
    <n v="8"/>
    <n v="45"/>
    <x v="10"/>
    <x v="5"/>
    <s v="small"/>
  </r>
  <r>
    <n v="10300"/>
    <d v="2023-05-30T00:00:00"/>
    <x v="0"/>
    <x v="3"/>
    <x v="1"/>
    <x v="1"/>
    <n v="8"/>
    <n v="220"/>
    <x v="33"/>
    <x v="5"/>
    <s v="medium"/>
  </r>
  <r>
    <n v="10301"/>
    <d v="2023-11-10T00:00:00"/>
    <x v="2"/>
    <x v="1"/>
    <x v="2"/>
    <x v="0"/>
    <n v="1"/>
    <n v="180"/>
    <x v="19"/>
    <x v="8"/>
    <s v="small"/>
  </r>
  <r>
    <n v="10302"/>
    <d v="2023-12-08T00:00:00"/>
    <x v="3"/>
    <x v="0"/>
    <x v="2"/>
    <x v="0"/>
    <n v="12"/>
    <n v="180"/>
    <x v="14"/>
    <x v="10"/>
    <s v="Large"/>
  </r>
  <r>
    <n v="10303"/>
    <d v="2023-11-01T00:00:00"/>
    <x v="1"/>
    <x v="3"/>
    <x v="3"/>
    <x v="0"/>
    <n v="3"/>
    <n v="45"/>
    <x v="50"/>
    <x v="8"/>
    <s v="small"/>
  </r>
  <r>
    <n v="10304"/>
    <d v="2023-02-23T00:00:00"/>
    <x v="2"/>
    <x v="2"/>
    <x v="3"/>
    <x v="0"/>
    <n v="10"/>
    <n v="45"/>
    <x v="20"/>
    <x v="16"/>
    <s v="small"/>
  </r>
  <r>
    <n v="10305"/>
    <d v="2024-03-19T00:00:00"/>
    <x v="2"/>
    <x v="1"/>
    <x v="5"/>
    <x v="0"/>
    <n v="9"/>
    <n v="30"/>
    <x v="4"/>
    <x v="1"/>
    <s v="small"/>
  </r>
  <r>
    <n v="10306"/>
    <d v="2023-09-21T00:00:00"/>
    <x v="4"/>
    <x v="2"/>
    <x v="4"/>
    <x v="1"/>
    <n v="5"/>
    <n v="850"/>
    <x v="42"/>
    <x v="2"/>
    <s v="Large"/>
  </r>
  <r>
    <n v="10307"/>
    <d v="2023-02-22T00:00:00"/>
    <x v="0"/>
    <x v="3"/>
    <x v="3"/>
    <x v="0"/>
    <n v="6"/>
    <n v="45"/>
    <x v="4"/>
    <x v="16"/>
    <s v="small"/>
  </r>
  <r>
    <n v="10308"/>
    <d v="2023-01-05T00:00:00"/>
    <x v="2"/>
    <x v="2"/>
    <x v="3"/>
    <x v="0"/>
    <n v="4"/>
    <n v="45"/>
    <x v="19"/>
    <x v="4"/>
    <s v="small"/>
  </r>
  <r>
    <n v="10309"/>
    <d v="2023-04-13T00:00:00"/>
    <x v="2"/>
    <x v="2"/>
    <x v="0"/>
    <x v="0"/>
    <n v="10"/>
    <n v="75"/>
    <x v="68"/>
    <x v="0"/>
    <s v="medium"/>
  </r>
  <r>
    <n v="10310"/>
    <d v="2023-07-15T00:00:00"/>
    <x v="3"/>
    <x v="3"/>
    <x v="1"/>
    <x v="1"/>
    <n v="2"/>
    <n v="220"/>
    <x v="57"/>
    <x v="13"/>
    <s v="small"/>
  </r>
  <r>
    <n v="10311"/>
    <d v="2023-12-16T00:00:00"/>
    <x v="3"/>
    <x v="0"/>
    <x v="0"/>
    <x v="0"/>
    <n v="11"/>
    <n v="75"/>
    <x v="39"/>
    <x v="10"/>
    <s v="medium"/>
  </r>
  <r>
    <n v="10312"/>
    <d v="2023-02-16T00:00:00"/>
    <x v="1"/>
    <x v="2"/>
    <x v="0"/>
    <x v="0"/>
    <n v="8"/>
    <n v="75"/>
    <x v="53"/>
    <x v="16"/>
    <s v="medium"/>
  </r>
  <r>
    <n v="10313"/>
    <d v="2023-09-26T00:00:00"/>
    <x v="4"/>
    <x v="2"/>
    <x v="2"/>
    <x v="0"/>
    <n v="11"/>
    <n v="180"/>
    <x v="9"/>
    <x v="2"/>
    <s v="medium"/>
  </r>
  <r>
    <n v="10314"/>
    <d v="2024-01-05T00:00:00"/>
    <x v="1"/>
    <x v="0"/>
    <x v="4"/>
    <x v="1"/>
    <n v="13"/>
    <n v="850"/>
    <x v="34"/>
    <x v="9"/>
    <s v="Large"/>
  </r>
  <r>
    <n v="10315"/>
    <d v="2023-04-16T00:00:00"/>
    <x v="3"/>
    <x v="2"/>
    <x v="1"/>
    <x v="1"/>
    <n v="6"/>
    <n v="220"/>
    <x v="5"/>
    <x v="0"/>
    <s v="medium"/>
  </r>
  <r>
    <n v="10316"/>
    <d v="2023-04-30T00:00:00"/>
    <x v="0"/>
    <x v="2"/>
    <x v="5"/>
    <x v="0"/>
    <n v="5"/>
    <n v="30"/>
    <x v="16"/>
    <x v="0"/>
    <s v="small"/>
  </r>
  <r>
    <n v="10317"/>
    <d v="2023-02-27T00:00:00"/>
    <x v="3"/>
    <x v="2"/>
    <x v="5"/>
    <x v="0"/>
    <n v="9"/>
    <n v="30"/>
    <x v="4"/>
    <x v="16"/>
    <s v="small"/>
  </r>
  <r>
    <n v="10318"/>
    <d v="2023-12-12T00:00:00"/>
    <x v="4"/>
    <x v="4"/>
    <x v="3"/>
    <x v="0"/>
    <n v="1"/>
    <n v="45"/>
    <x v="47"/>
    <x v="10"/>
    <s v="small"/>
  </r>
  <r>
    <n v="10319"/>
    <d v="2024-04-18T00:00:00"/>
    <x v="3"/>
    <x v="0"/>
    <x v="3"/>
    <x v="0"/>
    <n v="5"/>
    <n v="45"/>
    <x v="26"/>
    <x v="6"/>
    <s v="small"/>
  </r>
  <r>
    <n v="10320"/>
    <d v="2023-04-27T00:00:00"/>
    <x v="4"/>
    <x v="2"/>
    <x v="5"/>
    <x v="0"/>
    <n v="6"/>
    <n v="30"/>
    <x v="19"/>
    <x v="0"/>
    <s v="small"/>
  </r>
  <r>
    <n v="10321"/>
    <d v="2023-05-07T00:00:00"/>
    <x v="4"/>
    <x v="0"/>
    <x v="3"/>
    <x v="0"/>
    <n v="5"/>
    <n v="45"/>
    <x v="26"/>
    <x v="5"/>
    <s v="small"/>
  </r>
  <r>
    <n v="10322"/>
    <d v="2024-01-28T00:00:00"/>
    <x v="4"/>
    <x v="1"/>
    <x v="4"/>
    <x v="1"/>
    <n v="6"/>
    <n v="850"/>
    <x v="37"/>
    <x v="9"/>
    <s v="Large"/>
  </r>
  <r>
    <n v="10323"/>
    <d v="2023-02-27T00:00:00"/>
    <x v="4"/>
    <x v="1"/>
    <x v="0"/>
    <x v="0"/>
    <n v="6"/>
    <n v="75"/>
    <x v="20"/>
    <x v="16"/>
    <s v="small"/>
  </r>
  <r>
    <n v="10324"/>
    <d v="2024-05-27T00:00:00"/>
    <x v="4"/>
    <x v="2"/>
    <x v="3"/>
    <x v="0"/>
    <n v="7"/>
    <n v="45"/>
    <x v="36"/>
    <x v="11"/>
    <s v="small"/>
  </r>
  <r>
    <n v="10325"/>
    <d v="2023-04-06T00:00:00"/>
    <x v="0"/>
    <x v="0"/>
    <x v="2"/>
    <x v="0"/>
    <n v="4"/>
    <n v="180"/>
    <x v="64"/>
    <x v="0"/>
    <s v="medium"/>
  </r>
  <r>
    <n v="10326"/>
    <d v="2023-04-28T00:00:00"/>
    <x v="1"/>
    <x v="0"/>
    <x v="3"/>
    <x v="0"/>
    <n v="14"/>
    <n v="45"/>
    <x v="48"/>
    <x v="0"/>
    <s v="medium"/>
  </r>
  <r>
    <n v="10327"/>
    <d v="2024-05-02T00:00:00"/>
    <x v="2"/>
    <x v="0"/>
    <x v="1"/>
    <x v="1"/>
    <n v="11"/>
    <n v="220"/>
    <x v="25"/>
    <x v="11"/>
    <s v="Large"/>
  </r>
  <r>
    <n v="10328"/>
    <d v="2023-08-25T00:00:00"/>
    <x v="1"/>
    <x v="4"/>
    <x v="4"/>
    <x v="1"/>
    <n v="14"/>
    <n v="850"/>
    <x v="30"/>
    <x v="7"/>
    <s v="Large"/>
  </r>
  <r>
    <n v="10329"/>
    <d v="2023-09-29T00:00:00"/>
    <x v="4"/>
    <x v="1"/>
    <x v="1"/>
    <x v="1"/>
    <n v="14"/>
    <n v="220"/>
    <x v="1"/>
    <x v="2"/>
    <s v="Large"/>
  </r>
  <r>
    <n v="10330"/>
    <d v="2023-07-08T00:00:00"/>
    <x v="0"/>
    <x v="0"/>
    <x v="1"/>
    <x v="1"/>
    <n v="14"/>
    <n v="220"/>
    <x v="1"/>
    <x v="13"/>
    <s v="Large"/>
  </r>
  <r>
    <n v="10331"/>
    <d v="2024-03-22T00:00:00"/>
    <x v="3"/>
    <x v="0"/>
    <x v="2"/>
    <x v="0"/>
    <n v="8"/>
    <n v="180"/>
    <x v="15"/>
    <x v="1"/>
    <s v="medium"/>
  </r>
  <r>
    <n v="10332"/>
    <d v="2023-09-04T00:00:00"/>
    <x v="0"/>
    <x v="4"/>
    <x v="4"/>
    <x v="1"/>
    <n v="7"/>
    <n v="850"/>
    <x v="70"/>
    <x v="2"/>
    <s v="Large"/>
  </r>
  <r>
    <n v="10333"/>
    <d v="2023-03-17T00:00:00"/>
    <x v="4"/>
    <x v="4"/>
    <x v="4"/>
    <x v="1"/>
    <n v="9"/>
    <n v="850"/>
    <x v="65"/>
    <x v="3"/>
    <s v="Large"/>
  </r>
  <r>
    <n v="10334"/>
    <d v="2023-06-03T00:00:00"/>
    <x v="0"/>
    <x v="0"/>
    <x v="4"/>
    <x v="1"/>
    <n v="7"/>
    <n v="850"/>
    <x v="70"/>
    <x v="15"/>
    <s v="Large"/>
  </r>
  <r>
    <n v="10335"/>
    <d v="2024-03-10T00:00:00"/>
    <x v="0"/>
    <x v="3"/>
    <x v="4"/>
    <x v="1"/>
    <n v="3"/>
    <n v="850"/>
    <x v="6"/>
    <x v="1"/>
    <s v="Large"/>
  </r>
  <r>
    <n v="10336"/>
    <d v="2023-03-27T00:00:00"/>
    <x v="4"/>
    <x v="0"/>
    <x v="4"/>
    <x v="1"/>
    <n v="3"/>
    <n v="850"/>
    <x v="6"/>
    <x v="3"/>
    <s v="Large"/>
  </r>
  <r>
    <n v="10337"/>
    <d v="2023-10-12T00:00:00"/>
    <x v="0"/>
    <x v="0"/>
    <x v="2"/>
    <x v="0"/>
    <n v="8"/>
    <n v="180"/>
    <x v="15"/>
    <x v="14"/>
    <s v="medium"/>
  </r>
  <r>
    <n v="10338"/>
    <d v="2023-08-08T00:00:00"/>
    <x v="2"/>
    <x v="4"/>
    <x v="3"/>
    <x v="0"/>
    <n v="5"/>
    <n v="45"/>
    <x v="26"/>
    <x v="7"/>
    <s v="small"/>
  </r>
  <r>
    <n v="10339"/>
    <d v="2023-03-10T00:00:00"/>
    <x v="2"/>
    <x v="4"/>
    <x v="1"/>
    <x v="1"/>
    <n v="4"/>
    <n v="220"/>
    <x v="58"/>
    <x v="3"/>
    <s v="medium"/>
  </r>
  <r>
    <n v="10340"/>
    <d v="2023-02-16T00:00:00"/>
    <x v="0"/>
    <x v="0"/>
    <x v="4"/>
    <x v="1"/>
    <n v="8"/>
    <n v="850"/>
    <x v="52"/>
    <x v="16"/>
    <s v="Large"/>
  </r>
  <r>
    <n v="10341"/>
    <d v="2023-04-04T00:00:00"/>
    <x v="3"/>
    <x v="0"/>
    <x v="3"/>
    <x v="0"/>
    <n v="6"/>
    <n v="45"/>
    <x v="4"/>
    <x v="0"/>
    <s v="small"/>
  </r>
  <r>
    <n v="10342"/>
    <d v="2024-03-28T00:00:00"/>
    <x v="4"/>
    <x v="0"/>
    <x v="3"/>
    <x v="0"/>
    <n v="2"/>
    <n v="45"/>
    <x v="23"/>
    <x v="1"/>
    <s v="small"/>
  </r>
  <r>
    <n v="10343"/>
    <d v="2023-07-23T00:00:00"/>
    <x v="2"/>
    <x v="4"/>
    <x v="1"/>
    <x v="1"/>
    <n v="4"/>
    <n v="220"/>
    <x v="58"/>
    <x v="13"/>
    <s v="medium"/>
  </r>
  <r>
    <n v="10344"/>
    <d v="2023-08-06T00:00:00"/>
    <x v="3"/>
    <x v="0"/>
    <x v="2"/>
    <x v="0"/>
    <n v="12"/>
    <n v="180"/>
    <x v="14"/>
    <x v="7"/>
    <s v="Large"/>
  </r>
  <r>
    <n v="10345"/>
    <d v="2024-04-18T00:00:00"/>
    <x v="0"/>
    <x v="0"/>
    <x v="5"/>
    <x v="0"/>
    <n v="11"/>
    <n v="30"/>
    <x v="40"/>
    <x v="6"/>
    <s v="small"/>
  </r>
  <r>
    <n v="10346"/>
    <d v="2024-03-07T00:00:00"/>
    <x v="3"/>
    <x v="2"/>
    <x v="5"/>
    <x v="0"/>
    <n v="4"/>
    <n v="30"/>
    <x v="27"/>
    <x v="1"/>
    <s v="small"/>
  </r>
  <r>
    <n v="10347"/>
    <d v="2023-12-07T00:00:00"/>
    <x v="1"/>
    <x v="3"/>
    <x v="3"/>
    <x v="0"/>
    <n v="6"/>
    <n v="45"/>
    <x v="4"/>
    <x v="10"/>
    <s v="small"/>
  </r>
  <r>
    <n v="10348"/>
    <d v="2023-10-16T00:00:00"/>
    <x v="2"/>
    <x v="1"/>
    <x v="0"/>
    <x v="0"/>
    <n v="6"/>
    <n v="75"/>
    <x v="20"/>
    <x v="14"/>
    <s v="small"/>
  </r>
  <r>
    <n v="10349"/>
    <d v="2023-09-11T00:00:00"/>
    <x v="0"/>
    <x v="3"/>
    <x v="0"/>
    <x v="0"/>
    <n v="1"/>
    <n v="75"/>
    <x v="0"/>
    <x v="2"/>
    <s v="small"/>
  </r>
  <r>
    <n v="10350"/>
    <d v="2023-12-23T00:00:00"/>
    <x v="4"/>
    <x v="2"/>
    <x v="1"/>
    <x v="1"/>
    <n v="14"/>
    <n v="220"/>
    <x v="1"/>
    <x v="10"/>
    <s v="Large"/>
  </r>
  <r>
    <n v="10351"/>
    <d v="2023-01-23T00:00:00"/>
    <x v="0"/>
    <x v="1"/>
    <x v="5"/>
    <x v="0"/>
    <n v="8"/>
    <n v="30"/>
    <x v="12"/>
    <x v="4"/>
    <s v="small"/>
  </r>
  <r>
    <n v="10352"/>
    <d v="2024-06-05T00:00:00"/>
    <x v="4"/>
    <x v="0"/>
    <x v="3"/>
    <x v="0"/>
    <n v="6"/>
    <n v="45"/>
    <x v="4"/>
    <x v="17"/>
    <s v="small"/>
  </r>
  <r>
    <n v="10353"/>
    <d v="2023-04-10T00:00:00"/>
    <x v="0"/>
    <x v="2"/>
    <x v="2"/>
    <x v="0"/>
    <n v="3"/>
    <n v="180"/>
    <x v="18"/>
    <x v="0"/>
    <s v="medium"/>
  </r>
  <r>
    <n v="10354"/>
    <d v="2023-06-29T00:00:00"/>
    <x v="3"/>
    <x v="0"/>
    <x v="5"/>
    <x v="0"/>
    <n v="14"/>
    <n v="30"/>
    <x v="49"/>
    <x v="15"/>
    <s v="small"/>
  </r>
  <r>
    <n v="10355"/>
    <d v="2023-08-11T00:00:00"/>
    <x v="3"/>
    <x v="4"/>
    <x v="3"/>
    <x v="0"/>
    <n v="9"/>
    <n v="45"/>
    <x v="24"/>
    <x v="7"/>
    <s v="small"/>
  </r>
  <r>
    <n v="10356"/>
    <d v="2024-03-17T00:00:00"/>
    <x v="3"/>
    <x v="2"/>
    <x v="3"/>
    <x v="0"/>
    <n v="2"/>
    <n v="45"/>
    <x v="23"/>
    <x v="1"/>
    <s v="small"/>
  </r>
  <r>
    <n v="10357"/>
    <d v="2023-11-21T00:00:00"/>
    <x v="1"/>
    <x v="4"/>
    <x v="4"/>
    <x v="1"/>
    <n v="11"/>
    <n v="850"/>
    <x v="54"/>
    <x v="8"/>
    <s v="Large"/>
  </r>
  <r>
    <n v="10358"/>
    <d v="2024-05-30T00:00:00"/>
    <x v="4"/>
    <x v="2"/>
    <x v="2"/>
    <x v="0"/>
    <n v="8"/>
    <n v="180"/>
    <x v="15"/>
    <x v="11"/>
    <s v="medium"/>
  </r>
  <r>
    <n v="10359"/>
    <d v="2023-01-16T00:00:00"/>
    <x v="3"/>
    <x v="2"/>
    <x v="4"/>
    <x v="1"/>
    <n v="10"/>
    <n v="850"/>
    <x v="60"/>
    <x v="4"/>
    <s v="Large"/>
  </r>
  <r>
    <n v="10360"/>
    <d v="2023-12-02T00:00:00"/>
    <x v="1"/>
    <x v="4"/>
    <x v="1"/>
    <x v="1"/>
    <n v="3"/>
    <n v="220"/>
    <x v="46"/>
    <x v="10"/>
    <s v="medium"/>
  </r>
  <r>
    <n v="10361"/>
    <d v="2023-09-15T00:00:00"/>
    <x v="4"/>
    <x v="1"/>
    <x v="4"/>
    <x v="1"/>
    <n v="13"/>
    <n v="850"/>
    <x v="34"/>
    <x v="2"/>
    <s v="Large"/>
  </r>
  <r>
    <n v="10362"/>
    <d v="2024-05-11T00:00:00"/>
    <x v="0"/>
    <x v="3"/>
    <x v="4"/>
    <x v="1"/>
    <n v="12"/>
    <n v="850"/>
    <x v="44"/>
    <x v="11"/>
    <s v="Large"/>
  </r>
  <r>
    <n v="10363"/>
    <d v="2023-06-09T00:00:00"/>
    <x v="1"/>
    <x v="0"/>
    <x v="5"/>
    <x v="0"/>
    <n v="5"/>
    <n v="30"/>
    <x v="16"/>
    <x v="15"/>
    <s v="small"/>
  </r>
  <r>
    <n v="10364"/>
    <d v="2024-04-19T00:00:00"/>
    <x v="2"/>
    <x v="2"/>
    <x v="0"/>
    <x v="0"/>
    <n v="6"/>
    <n v="75"/>
    <x v="20"/>
    <x v="6"/>
    <s v="small"/>
  </r>
  <r>
    <n v="10365"/>
    <d v="2024-01-15T00:00:00"/>
    <x v="1"/>
    <x v="0"/>
    <x v="3"/>
    <x v="0"/>
    <n v="10"/>
    <n v="45"/>
    <x v="20"/>
    <x v="9"/>
    <s v="small"/>
  </r>
  <r>
    <n v="10366"/>
    <d v="2024-06-28T00:00:00"/>
    <x v="1"/>
    <x v="4"/>
    <x v="2"/>
    <x v="0"/>
    <n v="6"/>
    <n v="180"/>
    <x v="13"/>
    <x v="17"/>
    <s v="medium"/>
  </r>
  <r>
    <n v="10367"/>
    <d v="2024-03-02T00:00:00"/>
    <x v="4"/>
    <x v="0"/>
    <x v="4"/>
    <x v="1"/>
    <n v="4"/>
    <n v="850"/>
    <x v="69"/>
    <x v="1"/>
    <s v="Large"/>
  </r>
  <r>
    <n v="10368"/>
    <d v="2023-09-25T00:00:00"/>
    <x v="0"/>
    <x v="4"/>
    <x v="2"/>
    <x v="0"/>
    <n v="3"/>
    <n v="180"/>
    <x v="18"/>
    <x v="2"/>
    <s v="medium"/>
  </r>
  <r>
    <n v="10369"/>
    <d v="2024-02-21T00:00:00"/>
    <x v="2"/>
    <x v="0"/>
    <x v="0"/>
    <x v="0"/>
    <n v="4"/>
    <n v="75"/>
    <x v="21"/>
    <x v="12"/>
    <s v="small"/>
  </r>
  <r>
    <n v="10370"/>
    <d v="2023-06-17T00:00:00"/>
    <x v="3"/>
    <x v="3"/>
    <x v="0"/>
    <x v="0"/>
    <n v="1"/>
    <n v="75"/>
    <x v="0"/>
    <x v="15"/>
    <s v="small"/>
  </r>
  <r>
    <n v="10371"/>
    <d v="2023-02-12T00:00:00"/>
    <x v="3"/>
    <x v="3"/>
    <x v="4"/>
    <x v="1"/>
    <n v="4"/>
    <n v="850"/>
    <x v="69"/>
    <x v="16"/>
    <s v="Large"/>
  </r>
  <r>
    <n v="10372"/>
    <d v="2023-10-12T00:00:00"/>
    <x v="1"/>
    <x v="3"/>
    <x v="1"/>
    <x v="1"/>
    <n v="1"/>
    <n v="220"/>
    <x v="2"/>
    <x v="14"/>
    <s v="small"/>
  </r>
  <r>
    <n v="10373"/>
    <d v="2024-02-01T00:00:00"/>
    <x v="4"/>
    <x v="3"/>
    <x v="4"/>
    <x v="1"/>
    <n v="12"/>
    <n v="850"/>
    <x v="44"/>
    <x v="12"/>
    <s v="Large"/>
  </r>
  <r>
    <n v="10374"/>
    <d v="2023-01-12T00:00:00"/>
    <x v="4"/>
    <x v="3"/>
    <x v="5"/>
    <x v="0"/>
    <n v="1"/>
    <n v="30"/>
    <x v="67"/>
    <x v="4"/>
    <s v="small"/>
  </r>
  <r>
    <n v="10375"/>
    <d v="2023-10-29T00:00:00"/>
    <x v="3"/>
    <x v="3"/>
    <x v="3"/>
    <x v="0"/>
    <n v="10"/>
    <n v="45"/>
    <x v="20"/>
    <x v="14"/>
    <s v="small"/>
  </r>
  <r>
    <n v="10376"/>
    <d v="2023-09-10T00:00:00"/>
    <x v="2"/>
    <x v="4"/>
    <x v="1"/>
    <x v="1"/>
    <n v="14"/>
    <n v="220"/>
    <x v="1"/>
    <x v="2"/>
    <s v="Large"/>
  </r>
  <r>
    <n v="10377"/>
    <d v="2024-05-13T00:00:00"/>
    <x v="0"/>
    <x v="2"/>
    <x v="4"/>
    <x v="1"/>
    <n v="6"/>
    <n v="850"/>
    <x v="37"/>
    <x v="11"/>
    <s v="Large"/>
  </r>
  <r>
    <n v="10378"/>
    <d v="2023-02-04T00:00:00"/>
    <x v="2"/>
    <x v="0"/>
    <x v="2"/>
    <x v="0"/>
    <n v="5"/>
    <n v="180"/>
    <x v="3"/>
    <x v="16"/>
    <s v="medium"/>
  </r>
  <r>
    <n v="10379"/>
    <d v="2023-03-31T00:00:00"/>
    <x v="0"/>
    <x v="3"/>
    <x v="1"/>
    <x v="1"/>
    <n v="14"/>
    <n v="220"/>
    <x v="1"/>
    <x v="3"/>
    <s v="Large"/>
  </r>
  <r>
    <n v="10380"/>
    <d v="2024-02-22T00:00:00"/>
    <x v="3"/>
    <x v="4"/>
    <x v="1"/>
    <x v="1"/>
    <n v="11"/>
    <n v="220"/>
    <x v="25"/>
    <x v="12"/>
    <s v="Large"/>
  </r>
  <r>
    <n v="10381"/>
    <d v="2023-04-25T00:00:00"/>
    <x v="0"/>
    <x v="4"/>
    <x v="4"/>
    <x v="1"/>
    <n v="4"/>
    <n v="850"/>
    <x v="69"/>
    <x v="0"/>
    <s v="Large"/>
  </r>
  <r>
    <n v="10382"/>
    <d v="2023-07-15T00:00:00"/>
    <x v="4"/>
    <x v="4"/>
    <x v="1"/>
    <x v="1"/>
    <n v="13"/>
    <n v="220"/>
    <x v="28"/>
    <x v="13"/>
    <s v="Large"/>
  </r>
  <r>
    <n v="10383"/>
    <d v="2024-05-15T00:00:00"/>
    <x v="1"/>
    <x v="2"/>
    <x v="2"/>
    <x v="0"/>
    <n v="11"/>
    <n v="180"/>
    <x v="9"/>
    <x v="11"/>
    <s v="medium"/>
  </r>
  <r>
    <n v="10384"/>
    <d v="2024-05-07T00:00:00"/>
    <x v="1"/>
    <x v="0"/>
    <x v="0"/>
    <x v="0"/>
    <n v="3"/>
    <n v="75"/>
    <x v="26"/>
    <x v="11"/>
    <s v="small"/>
  </r>
  <r>
    <n v="10385"/>
    <d v="2023-03-16T00:00:00"/>
    <x v="3"/>
    <x v="2"/>
    <x v="1"/>
    <x v="1"/>
    <n v="1"/>
    <n v="220"/>
    <x v="2"/>
    <x v="3"/>
    <s v="small"/>
  </r>
  <r>
    <n v="10386"/>
    <d v="2024-02-17T00:00:00"/>
    <x v="4"/>
    <x v="1"/>
    <x v="0"/>
    <x v="0"/>
    <n v="6"/>
    <n v="75"/>
    <x v="20"/>
    <x v="12"/>
    <s v="small"/>
  </r>
  <r>
    <n v="10387"/>
    <d v="2024-01-11T00:00:00"/>
    <x v="2"/>
    <x v="4"/>
    <x v="2"/>
    <x v="0"/>
    <n v="2"/>
    <n v="180"/>
    <x v="10"/>
    <x v="9"/>
    <s v="small"/>
  </r>
  <r>
    <n v="10388"/>
    <d v="2024-02-24T00:00:00"/>
    <x v="4"/>
    <x v="1"/>
    <x v="4"/>
    <x v="1"/>
    <n v="8"/>
    <n v="850"/>
    <x v="52"/>
    <x v="12"/>
    <s v="Large"/>
  </r>
  <r>
    <n v="10389"/>
    <d v="2023-10-04T00:00:00"/>
    <x v="1"/>
    <x v="3"/>
    <x v="3"/>
    <x v="0"/>
    <n v="10"/>
    <n v="45"/>
    <x v="20"/>
    <x v="14"/>
    <s v="small"/>
  </r>
  <r>
    <n v="10390"/>
    <d v="2024-01-29T00:00:00"/>
    <x v="1"/>
    <x v="3"/>
    <x v="1"/>
    <x v="1"/>
    <n v="5"/>
    <n v="220"/>
    <x v="45"/>
    <x v="9"/>
    <s v="medium"/>
  </r>
  <r>
    <n v="10391"/>
    <d v="2024-04-01T00:00:00"/>
    <x v="4"/>
    <x v="2"/>
    <x v="3"/>
    <x v="0"/>
    <n v="7"/>
    <n v="45"/>
    <x v="36"/>
    <x v="6"/>
    <s v="small"/>
  </r>
  <r>
    <n v="10392"/>
    <d v="2023-07-11T00:00:00"/>
    <x v="4"/>
    <x v="0"/>
    <x v="2"/>
    <x v="0"/>
    <n v="10"/>
    <n v="180"/>
    <x v="11"/>
    <x v="13"/>
    <s v="medium"/>
  </r>
  <r>
    <n v="10393"/>
    <d v="2023-04-09T00:00:00"/>
    <x v="1"/>
    <x v="1"/>
    <x v="1"/>
    <x v="1"/>
    <n v="12"/>
    <n v="220"/>
    <x v="22"/>
    <x v="0"/>
    <s v="Large"/>
  </r>
  <r>
    <n v="10394"/>
    <d v="2023-04-06T00:00:00"/>
    <x v="2"/>
    <x v="0"/>
    <x v="0"/>
    <x v="0"/>
    <n v="2"/>
    <n v="75"/>
    <x v="16"/>
    <x v="0"/>
    <s v="small"/>
  </r>
  <r>
    <n v="10395"/>
    <d v="2023-07-09T00:00:00"/>
    <x v="3"/>
    <x v="2"/>
    <x v="5"/>
    <x v="0"/>
    <n v="13"/>
    <n v="30"/>
    <x v="31"/>
    <x v="13"/>
    <s v="small"/>
  </r>
  <r>
    <n v="10396"/>
    <d v="2023-02-06T00:00:00"/>
    <x v="3"/>
    <x v="3"/>
    <x v="3"/>
    <x v="0"/>
    <n v="8"/>
    <n v="45"/>
    <x v="10"/>
    <x v="16"/>
    <s v="small"/>
  </r>
  <r>
    <n v="10397"/>
    <d v="2024-01-04T00:00:00"/>
    <x v="4"/>
    <x v="0"/>
    <x v="1"/>
    <x v="1"/>
    <n v="2"/>
    <n v="220"/>
    <x v="57"/>
    <x v="9"/>
    <s v="small"/>
  </r>
  <r>
    <n v="10398"/>
    <d v="2024-06-08T00:00:00"/>
    <x v="3"/>
    <x v="0"/>
    <x v="3"/>
    <x v="0"/>
    <n v="4"/>
    <n v="45"/>
    <x v="19"/>
    <x v="17"/>
    <s v="small"/>
  </r>
  <r>
    <n v="10399"/>
    <d v="2023-10-06T00:00:00"/>
    <x v="1"/>
    <x v="3"/>
    <x v="1"/>
    <x v="1"/>
    <n v="1"/>
    <n v="220"/>
    <x v="2"/>
    <x v="14"/>
    <s v="small"/>
  </r>
  <r>
    <n v="10400"/>
    <d v="2023-08-05T00:00:00"/>
    <x v="1"/>
    <x v="1"/>
    <x v="4"/>
    <x v="1"/>
    <n v="5"/>
    <n v="850"/>
    <x v="42"/>
    <x v="7"/>
    <s v="Large"/>
  </r>
  <r>
    <n v="10401"/>
    <d v="2023-09-30T00:00:00"/>
    <x v="4"/>
    <x v="3"/>
    <x v="0"/>
    <x v="0"/>
    <n v="9"/>
    <n v="75"/>
    <x v="8"/>
    <x v="2"/>
    <s v="medium"/>
  </r>
  <r>
    <n v="10402"/>
    <d v="2023-03-03T00:00:00"/>
    <x v="4"/>
    <x v="0"/>
    <x v="3"/>
    <x v="0"/>
    <n v="1"/>
    <n v="45"/>
    <x v="47"/>
    <x v="3"/>
    <s v="small"/>
  </r>
  <r>
    <n v="10403"/>
    <d v="2023-12-08T00:00:00"/>
    <x v="4"/>
    <x v="1"/>
    <x v="5"/>
    <x v="0"/>
    <n v="9"/>
    <n v="30"/>
    <x v="4"/>
    <x v="10"/>
    <s v="small"/>
  </r>
  <r>
    <n v="10404"/>
    <d v="2024-02-01T00:00:00"/>
    <x v="2"/>
    <x v="1"/>
    <x v="5"/>
    <x v="0"/>
    <n v="11"/>
    <n v="30"/>
    <x v="40"/>
    <x v="12"/>
    <s v="small"/>
  </r>
  <r>
    <n v="10405"/>
    <d v="2023-01-19T00:00:00"/>
    <x v="3"/>
    <x v="3"/>
    <x v="2"/>
    <x v="0"/>
    <n v="8"/>
    <n v="180"/>
    <x v="15"/>
    <x v="4"/>
    <s v="medium"/>
  </r>
  <r>
    <n v="10406"/>
    <d v="2023-06-26T00:00:00"/>
    <x v="4"/>
    <x v="0"/>
    <x v="1"/>
    <x v="1"/>
    <n v="6"/>
    <n v="220"/>
    <x v="5"/>
    <x v="15"/>
    <s v="medium"/>
  </r>
  <r>
    <n v="10407"/>
    <d v="2024-01-31T00:00:00"/>
    <x v="0"/>
    <x v="2"/>
    <x v="3"/>
    <x v="0"/>
    <n v="7"/>
    <n v="45"/>
    <x v="36"/>
    <x v="9"/>
    <s v="small"/>
  </r>
  <r>
    <n v="10408"/>
    <d v="2024-03-20T00:00:00"/>
    <x v="0"/>
    <x v="0"/>
    <x v="2"/>
    <x v="0"/>
    <n v="3"/>
    <n v="180"/>
    <x v="18"/>
    <x v="1"/>
    <s v="medium"/>
  </r>
  <r>
    <n v="10409"/>
    <d v="2023-08-21T00:00:00"/>
    <x v="1"/>
    <x v="4"/>
    <x v="3"/>
    <x v="0"/>
    <n v="14"/>
    <n v="45"/>
    <x v="48"/>
    <x v="7"/>
    <s v="medium"/>
  </r>
  <r>
    <n v="10410"/>
    <d v="2023-03-17T00:00:00"/>
    <x v="3"/>
    <x v="2"/>
    <x v="1"/>
    <x v="1"/>
    <n v="1"/>
    <n v="220"/>
    <x v="2"/>
    <x v="3"/>
    <s v="small"/>
  </r>
  <r>
    <n v="10411"/>
    <d v="2023-09-22T00:00:00"/>
    <x v="4"/>
    <x v="1"/>
    <x v="5"/>
    <x v="0"/>
    <n v="5"/>
    <n v="30"/>
    <x v="16"/>
    <x v="2"/>
    <s v="small"/>
  </r>
  <r>
    <n v="10412"/>
    <d v="2024-03-30T00:00:00"/>
    <x v="0"/>
    <x v="2"/>
    <x v="4"/>
    <x v="1"/>
    <n v="14"/>
    <n v="850"/>
    <x v="30"/>
    <x v="1"/>
    <s v="Large"/>
  </r>
  <r>
    <n v="10413"/>
    <d v="2024-01-19T00:00:00"/>
    <x v="3"/>
    <x v="1"/>
    <x v="5"/>
    <x v="0"/>
    <n v="12"/>
    <n v="30"/>
    <x v="10"/>
    <x v="9"/>
    <s v="small"/>
  </r>
  <r>
    <n v="10414"/>
    <d v="2024-05-20T00:00:00"/>
    <x v="1"/>
    <x v="1"/>
    <x v="2"/>
    <x v="0"/>
    <n v="12"/>
    <n v="180"/>
    <x v="14"/>
    <x v="11"/>
    <s v="Large"/>
  </r>
  <r>
    <n v="10415"/>
    <d v="2024-01-02T00:00:00"/>
    <x v="2"/>
    <x v="2"/>
    <x v="0"/>
    <x v="0"/>
    <n v="2"/>
    <n v="75"/>
    <x v="16"/>
    <x v="9"/>
    <s v="small"/>
  </r>
  <r>
    <n v="10416"/>
    <d v="2023-05-24T00:00:00"/>
    <x v="3"/>
    <x v="1"/>
    <x v="4"/>
    <x v="1"/>
    <n v="14"/>
    <n v="850"/>
    <x v="30"/>
    <x v="5"/>
    <s v="Large"/>
  </r>
  <r>
    <n v="10417"/>
    <d v="2023-03-10T00:00:00"/>
    <x v="3"/>
    <x v="1"/>
    <x v="2"/>
    <x v="0"/>
    <n v="5"/>
    <n v="180"/>
    <x v="3"/>
    <x v="3"/>
    <s v="medium"/>
  </r>
  <r>
    <n v="10418"/>
    <d v="2023-04-09T00:00:00"/>
    <x v="2"/>
    <x v="4"/>
    <x v="1"/>
    <x v="1"/>
    <n v="8"/>
    <n v="220"/>
    <x v="33"/>
    <x v="0"/>
    <s v="medium"/>
  </r>
  <r>
    <n v="10419"/>
    <d v="2024-01-31T00:00:00"/>
    <x v="3"/>
    <x v="0"/>
    <x v="4"/>
    <x v="1"/>
    <n v="11"/>
    <n v="850"/>
    <x v="54"/>
    <x v="9"/>
    <s v="Large"/>
  </r>
  <r>
    <n v="10420"/>
    <d v="2023-01-25T00:00:00"/>
    <x v="1"/>
    <x v="0"/>
    <x v="2"/>
    <x v="0"/>
    <n v="9"/>
    <n v="180"/>
    <x v="41"/>
    <x v="4"/>
    <s v="medium"/>
  </r>
  <r>
    <n v="10421"/>
    <d v="2024-04-13T00:00:00"/>
    <x v="1"/>
    <x v="4"/>
    <x v="1"/>
    <x v="1"/>
    <n v="2"/>
    <n v="220"/>
    <x v="57"/>
    <x v="6"/>
    <s v="small"/>
  </r>
  <r>
    <n v="10422"/>
    <d v="2024-04-28T00:00:00"/>
    <x v="2"/>
    <x v="2"/>
    <x v="5"/>
    <x v="0"/>
    <n v="12"/>
    <n v="30"/>
    <x v="10"/>
    <x v="6"/>
    <s v="small"/>
  </r>
  <r>
    <n v="10423"/>
    <d v="2023-05-31T00:00:00"/>
    <x v="4"/>
    <x v="3"/>
    <x v="0"/>
    <x v="0"/>
    <n v="3"/>
    <n v="75"/>
    <x v="26"/>
    <x v="5"/>
    <s v="small"/>
  </r>
  <r>
    <n v="10424"/>
    <d v="2023-05-24T00:00:00"/>
    <x v="0"/>
    <x v="3"/>
    <x v="1"/>
    <x v="1"/>
    <n v="3"/>
    <n v="220"/>
    <x v="46"/>
    <x v="5"/>
    <s v="medium"/>
  </r>
  <r>
    <n v="10425"/>
    <d v="2023-02-08T00:00:00"/>
    <x v="4"/>
    <x v="3"/>
    <x v="3"/>
    <x v="0"/>
    <n v="1"/>
    <n v="45"/>
    <x v="47"/>
    <x v="16"/>
    <s v="small"/>
  </r>
  <r>
    <n v="10426"/>
    <d v="2023-04-19T00:00:00"/>
    <x v="3"/>
    <x v="4"/>
    <x v="1"/>
    <x v="1"/>
    <n v="8"/>
    <n v="220"/>
    <x v="33"/>
    <x v="0"/>
    <s v="medium"/>
  </r>
  <r>
    <n v="10427"/>
    <d v="2023-02-11T00:00:00"/>
    <x v="0"/>
    <x v="4"/>
    <x v="1"/>
    <x v="1"/>
    <n v="6"/>
    <n v="220"/>
    <x v="5"/>
    <x v="16"/>
    <s v="medium"/>
  </r>
  <r>
    <n v="10428"/>
    <d v="2023-07-05T00:00:00"/>
    <x v="2"/>
    <x v="1"/>
    <x v="0"/>
    <x v="0"/>
    <n v="12"/>
    <n v="75"/>
    <x v="3"/>
    <x v="13"/>
    <s v="medium"/>
  </r>
  <r>
    <n v="10429"/>
    <d v="2024-02-02T00:00:00"/>
    <x v="2"/>
    <x v="3"/>
    <x v="3"/>
    <x v="0"/>
    <n v="13"/>
    <n v="45"/>
    <x v="61"/>
    <x v="12"/>
    <s v="medium"/>
  </r>
  <r>
    <n v="10430"/>
    <d v="2023-08-11T00:00:00"/>
    <x v="0"/>
    <x v="2"/>
    <x v="2"/>
    <x v="0"/>
    <n v="8"/>
    <n v="180"/>
    <x v="15"/>
    <x v="7"/>
    <s v="medium"/>
  </r>
  <r>
    <n v="10431"/>
    <d v="2023-05-13T00:00:00"/>
    <x v="1"/>
    <x v="2"/>
    <x v="2"/>
    <x v="0"/>
    <n v="11"/>
    <n v="180"/>
    <x v="9"/>
    <x v="5"/>
    <s v="medium"/>
  </r>
  <r>
    <n v="10432"/>
    <d v="2023-06-12T00:00:00"/>
    <x v="0"/>
    <x v="3"/>
    <x v="1"/>
    <x v="1"/>
    <n v="9"/>
    <n v="220"/>
    <x v="9"/>
    <x v="15"/>
    <s v="medium"/>
  </r>
  <r>
    <n v="10433"/>
    <d v="2023-08-03T00:00:00"/>
    <x v="3"/>
    <x v="3"/>
    <x v="3"/>
    <x v="0"/>
    <n v="5"/>
    <n v="45"/>
    <x v="26"/>
    <x v="7"/>
    <s v="small"/>
  </r>
  <r>
    <n v="10434"/>
    <d v="2023-08-23T00:00:00"/>
    <x v="1"/>
    <x v="3"/>
    <x v="3"/>
    <x v="0"/>
    <n v="14"/>
    <n v="45"/>
    <x v="48"/>
    <x v="7"/>
    <s v="medium"/>
  </r>
  <r>
    <n v="10435"/>
    <d v="2023-01-09T00:00:00"/>
    <x v="2"/>
    <x v="4"/>
    <x v="0"/>
    <x v="0"/>
    <n v="12"/>
    <n v="75"/>
    <x v="3"/>
    <x v="4"/>
    <s v="medium"/>
  </r>
  <r>
    <n v="10436"/>
    <d v="2023-03-15T00:00:00"/>
    <x v="0"/>
    <x v="4"/>
    <x v="5"/>
    <x v="0"/>
    <n v="14"/>
    <n v="30"/>
    <x v="49"/>
    <x v="3"/>
    <s v="small"/>
  </r>
  <r>
    <n v="10437"/>
    <d v="2024-05-06T00:00:00"/>
    <x v="4"/>
    <x v="4"/>
    <x v="2"/>
    <x v="0"/>
    <n v="3"/>
    <n v="180"/>
    <x v="18"/>
    <x v="11"/>
    <s v="medium"/>
  </r>
  <r>
    <n v="10438"/>
    <d v="2023-09-10T00:00:00"/>
    <x v="4"/>
    <x v="0"/>
    <x v="0"/>
    <x v="0"/>
    <n v="5"/>
    <n v="75"/>
    <x v="35"/>
    <x v="2"/>
    <s v="small"/>
  </r>
  <r>
    <n v="10439"/>
    <d v="2023-08-18T00:00:00"/>
    <x v="3"/>
    <x v="2"/>
    <x v="4"/>
    <x v="1"/>
    <n v="5"/>
    <n v="850"/>
    <x v="42"/>
    <x v="7"/>
    <s v="Large"/>
  </r>
  <r>
    <n v="10440"/>
    <d v="2024-06-02T00:00:00"/>
    <x v="4"/>
    <x v="2"/>
    <x v="2"/>
    <x v="0"/>
    <n v="5"/>
    <n v="180"/>
    <x v="3"/>
    <x v="17"/>
    <s v="medium"/>
  </r>
  <r>
    <n v="10441"/>
    <d v="2023-06-23T00:00:00"/>
    <x v="0"/>
    <x v="1"/>
    <x v="0"/>
    <x v="0"/>
    <n v="3"/>
    <n v="75"/>
    <x v="26"/>
    <x v="15"/>
    <s v="small"/>
  </r>
  <r>
    <n v="10442"/>
    <d v="2023-06-17T00:00:00"/>
    <x v="0"/>
    <x v="4"/>
    <x v="2"/>
    <x v="0"/>
    <n v="11"/>
    <n v="180"/>
    <x v="9"/>
    <x v="15"/>
    <s v="medium"/>
  </r>
  <r>
    <n v="10443"/>
    <d v="2023-06-19T00:00:00"/>
    <x v="4"/>
    <x v="0"/>
    <x v="5"/>
    <x v="0"/>
    <n v="14"/>
    <n v="30"/>
    <x v="49"/>
    <x v="15"/>
    <s v="small"/>
  </r>
  <r>
    <n v="10444"/>
    <d v="2024-01-28T00:00:00"/>
    <x v="0"/>
    <x v="0"/>
    <x v="4"/>
    <x v="1"/>
    <n v="10"/>
    <n v="850"/>
    <x v="60"/>
    <x v="9"/>
    <s v="Large"/>
  </r>
  <r>
    <n v="10445"/>
    <d v="2023-07-13T00:00:00"/>
    <x v="3"/>
    <x v="2"/>
    <x v="5"/>
    <x v="0"/>
    <n v="14"/>
    <n v="30"/>
    <x v="49"/>
    <x v="13"/>
    <s v="small"/>
  </r>
  <r>
    <n v="10446"/>
    <d v="2024-05-31T00:00:00"/>
    <x v="1"/>
    <x v="4"/>
    <x v="4"/>
    <x v="1"/>
    <n v="4"/>
    <n v="850"/>
    <x v="69"/>
    <x v="11"/>
    <s v="Large"/>
  </r>
  <r>
    <n v="10447"/>
    <d v="2023-01-29T00:00:00"/>
    <x v="3"/>
    <x v="1"/>
    <x v="1"/>
    <x v="1"/>
    <n v="9"/>
    <n v="220"/>
    <x v="9"/>
    <x v="4"/>
    <s v="medium"/>
  </r>
  <r>
    <n v="10448"/>
    <d v="2023-06-14T00:00:00"/>
    <x v="3"/>
    <x v="4"/>
    <x v="0"/>
    <x v="0"/>
    <n v="13"/>
    <n v="75"/>
    <x v="29"/>
    <x v="15"/>
    <s v="medium"/>
  </r>
  <r>
    <n v="10449"/>
    <d v="2024-02-26T00:00:00"/>
    <x v="0"/>
    <x v="3"/>
    <x v="4"/>
    <x v="1"/>
    <n v="10"/>
    <n v="850"/>
    <x v="60"/>
    <x v="12"/>
    <s v="Large"/>
  </r>
  <r>
    <n v="10450"/>
    <d v="2023-12-05T00:00:00"/>
    <x v="1"/>
    <x v="4"/>
    <x v="5"/>
    <x v="0"/>
    <n v="9"/>
    <n v="30"/>
    <x v="4"/>
    <x v="10"/>
    <s v="small"/>
  </r>
  <r>
    <n v="10451"/>
    <d v="2024-05-10T00:00:00"/>
    <x v="0"/>
    <x v="3"/>
    <x v="2"/>
    <x v="0"/>
    <n v="2"/>
    <n v="180"/>
    <x v="10"/>
    <x v="11"/>
    <s v="small"/>
  </r>
  <r>
    <n v="10452"/>
    <d v="2023-12-31T00:00:00"/>
    <x v="2"/>
    <x v="3"/>
    <x v="4"/>
    <x v="1"/>
    <n v="8"/>
    <n v="850"/>
    <x v="52"/>
    <x v="10"/>
    <s v="Large"/>
  </r>
  <r>
    <n v="10453"/>
    <d v="2023-12-08T00:00:00"/>
    <x v="0"/>
    <x v="1"/>
    <x v="0"/>
    <x v="0"/>
    <n v="8"/>
    <n v="75"/>
    <x v="53"/>
    <x v="10"/>
    <s v="medium"/>
  </r>
  <r>
    <n v="10454"/>
    <d v="2024-05-14T00:00:00"/>
    <x v="0"/>
    <x v="2"/>
    <x v="4"/>
    <x v="1"/>
    <n v="7"/>
    <n v="850"/>
    <x v="70"/>
    <x v="11"/>
    <s v="Large"/>
  </r>
  <r>
    <n v="10455"/>
    <d v="2024-05-25T00:00:00"/>
    <x v="0"/>
    <x v="4"/>
    <x v="3"/>
    <x v="0"/>
    <n v="8"/>
    <n v="45"/>
    <x v="10"/>
    <x v="11"/>
    <s v="small"/>
  </r>
  <r>
    <n v="10456"/>
    <d v="2023-11-23T00:00:00"/>
    <x v="1"/>
    <x v="3"/>
    <x v="2"/>
    <x v="0"/>
    <n v="14"/>
    <n v="180"/>
    <x v="59"/>
    <x v="8"/>
    <s v="Large"/>
  </r>
  <r>
    <n v="10457"/>
    <d v="2023-08-05T00:00:00"/>
    <x v="0"/>
    <x v="4"/>
    <x v="0"/>
    <x v="0"/>
    <n v="3"/>
    <n v="75"/>
    <x v="26"/>
    <x v="7"/>
    <s v="small"/>
  </r>
  <r>
    <n v="10458"/>
    <d v="2023-10-28T00:00:00"/>
    <x v="1"/>
    <x v="2"/>
    <x v="0"/>
    <x v="0"/>
    <n v="13"/>
    <n v="75"/>
    <x v="29"/>
    <x v="14"/>
    <s v="medium"/>
  </r>
  <r>
    <n v="10459"/>
    <d v="2023-05-12T00:00:00"/>
    <x v="4"/>
    <x v="2"/>
    <x v="1"/>
    <x v="1"/>
    <n v="6"/>
    <n v="220"/>
    <x v="5"/>
    <x v="5"/>
    <s v="medium"/>
  </r>
  <r>
    <n v="10460"/>
    <d v="2023-03-11T00:00:00"/>
    <x v="2"/>
    <x v="0"/>
    <x v="5"/>
    <x v="0"/>
    <n v="1"/>
    <n v="30"/>
    <x v="67"/>
    <x v="3"/>
    <s v="small"/>
  </r>
  <r>
    <n v="10461"/>
    <d v="2023-09-09T00:00:00"/>
    <x v="1"/>
    <x v="2"/>
    <x v="1"/>
    <x v="1"/>
    <n v="7"/>
    <n v="220"/>
    <x v="43"/>
    <x v="2"/>
    <s v="medium"/>
  </r>
  <r>
    <n v="10462"/>
    <d v="2024-02-19T00:00:00"/>
    <x v="4"/>
    <x v="1"/>
    <x v="0"/>
    <x v="0"/>
    <n v="1"/>
    <n v="75"/>
    <x v="0"/>
    <x v="12"/>
    <s v="small"/>
  </r>
  <r>
    <n v="10463"/>
    <d v="2024-03-20T00:00:00"/>
    <x v="1"/>
    <x v="3"/>
    <x v="2"/>
    <x v="0"/>
    <n v="9"/>
    <n v="180"/>
    <x v="41"/>
    <x v="1"/>
    <s v="medium"/>
  </r>
  <r>
    <n v="10464"/>
    <d v="2023-07-01T00:00:00"/>
    <x v="1"/>
    <x v="0"/>
    <x v="4"/>
    <x v="1"/>
    <n v="1"/>
    <n v="850"/>
    <x v="38"/>
    <x v="13"/>
    <s v="medium"/>
  </r>
  <r>
    <n v="10465"/>
    <d v="2023-06-16T00:00:00"/>
    <x v="2"/>
    <x v="1"/>
    <x v="4"/>
    <x v="1"/>
    <n v="1"/>
    <n v="850"/>
    <x v="38"/>
    <x v="15"/>
    <s v="medium"/>
  </r>
  <r>
    <n v="10466"/>
    <d v="2023-04-01T00:00:00"/>
    <x v="3"/>
    <x v="4"/>
    <x v="2"/>
    <x v="0"/>
    <n v="7"/>
    <n v="180"/>
    <x v="56"/>
    <x v="0"/>
    <s v="medium"/>
  </r>
  <r>
    <n v="10467"/>
    <d v="2024-06-14T00:00:00"/>
    <x v="3"/>
    <x v="3"/>
    <x v="0"/>
    <x v="0"/>
    <n v="2"/>
    <n v="75"/>
    <x v="16"/>
    <x v="17"/>
    <s v="small"/>
  </r>
  <r>
    <n v="10468"/>
    <d v="2023-02-08T00:00:00"/>
    <x v="1"/>
    <x v="2"/>
    <x v="4"/>
    <x v="1"/>
    <n v="14"/>
    <n v="850"/>
    <x v="30"/>
    <x v="16"/>
    <s v="Large"/>
  </r>
  <r>
    <n v="10469"/>
    <d v="2023-05-06T00:00:00"/>
    <x v="0"/>
    <x v="3"/>
    <x v="4"/>
    <x v="1"/>
    <n v="5"/>
    <n v="850"/>
    <x v="42"/>
    <x v="5"/>
    <s v="Large"/>
  </r>
  <r>
    <n v="10470"/>
    <d v="2024-03-26T00:00:00"/>
    <x v="4"/>
    <x v="4"/>
    <x v="4"/>
    <x v="1"/>
    <n v="8"/>
    <n v="850"/>
    <x v="52"/>
    <x v="1"/>
    <s v="Large"/>
  </r>
  <r>
    <n v="10471"/>
    <d v="2023-06-22T00:00:00"/>
    <x v="0"/>
    <x v="0"/>
    <x v="5"/>
    <x v="0"/>
    <n v="8"/>
    <n v="30"/>
    <x v="12"/>
    <x v="15"/>
    <s v="small"/>
  </r>
  <r>
    <n v="10472"/>
    <d v="2023-08-08T00:00:00"/>
    <x v="0"/>
    <x v="0"/>
    <x v="5"/>
    <x v="0"/>
    <n v="3"/>
    <n v="30"/>
    <x v="23"/>
    <x v="7"/>
    <s v="small"/>
  </r>
  <r>
    <n v="10473"/>
    <d v="2023-02-27T00:00:00"/>
    <x v="1"/>
    <x v="0"/>
    <x v="3"/>
    <x v="0"/>
    <n v="7"/>
    <n v="45"/>
    <x v="36"/>
    <x v="16"/>
    <s v="small"/>
  </r>
  <r>
    <n v="10474"/>
    <d v="2024-04-20T00:00:00"/>
    <x v="1"/>
    <x v="2"/>
    <x v="1"/>
    <x v="1"/>
    <n v="3"/>
    <n v="220"/>
    <x v="46"/>
    <x v="6"/>
    <s v="medium"/>
  </r>
  <r>
    <n v="10475"/>
    <d v="2024-03-31T00:00:00"/>
    <x v="1"/>
    <x v="1"/>
    <x v="2"/>
    <x v="0"/>
    <n v="6"/>
    <n v="180"/>
    <x v="13"/>
    <x v="1"/>
    <s v="medium"/>
  </r>
  <r>
    <n v="10476"/>
    <d v="2023-12-27T00:00:00"/>
    <x v="1"/>
    <x v="1"/>
    <x v="2"/>
    <x v="0"/>
    <n v="6"/>
    <n v="180"/>
    <x v="13"/>
    <x v="10"/>
    <s v="medium"/>
  </r>
  <r>
    <n v="10477"/>
    <d v="2023-01-01T00:00:00"/>
    <x v="3"/>
    <x v="3"/>
    <x v="2"/>
    <x v="0"/>
    <n v="3"/>
    <n v="180"/>
    <x v="18"/>
    <x v="4"/>
    <s v="medium"/>
  </r>
  <r>
    <n v="10478"/>
    <d v="2024-01-22T00:00:00"/>
    <x v="1"/>
    <x v="2"/>
    <x v="3"/>
    <x v="0"/>
    <n v="7"/>
    <n v="45"/>
    <x v="36"/>
    <x v="9"/>
    <s v="small"/>
  </r>
  <r>
    <n v="10479"/>
    <d v="2023-12-14T00:00:00"/>
    <x v="3"/>
    <x v="0"/>
    <x v="5"/>
    <x v="0"/>
    <n v="3"/>
    <n v="30"/>
    <x v="23"/>
    <x v="10"/>
    <s v="small"/>
  </r>
  <r>
    <n v="10480"/>
    <d v="2023-07-09T00:00:00"/>
    <x v="3"/>
    <x v="0"/>
    <x v="0"/>
    <x v="0"/>
    <n v="8"/>
    <n v="75"/>
    <x v="53"/>
    <x v="13"/>
    <s v="medium"/>
  </r>
  <r>
    <n v="10481"/>
    <d v="2024-05-19T00:00:00"/>
    <x v="1"/>
    <x v="4"/>
    <x v="0"/>
    <x v="0"/>
    <n v="10"/>
    <n v="75"/>
    <x v="68"/>
    <x v="11"/>
    <s v="medium"/>
  </r>
  <r>
    <n v="10482"/>
    <d v="2023-07-10T00:00:00"/>
    <x v="2"/>
    <x v="4"/>
    <x v="3"/>
    <x v="0"/>
    <n v="4"/>
    <n v="45"/>
    <x v="19"/>
    <x v="13"/>
    <s v="small"/>
  </r>
  <r>
    <n v="10483"/>
    <d v="2024-05-22T00:00:00"/>
    <x v="4"/>
    <x v="0"/>
    <x v="0"/>
    <x v="0"/>
    <n v="13"/>
    <n v="75"/>
    <x v="29"/>
    <x v="11"/>
    <s v="medium"/>
  </r>
  <r>
    <n v="10484"/>
    <d v="2024-01-04T00:00:00"/>
    <x v="0"/>
    <x v="0"/>
    <x v="2"/>
    <x v="0"/>
    <n v="1"/>
    <n v="180"/>
    <x v="19"/>
    <x v="9"/>
    <s v="small"/>
  </r>
  <r>
    <n v="10485"/>
    <d v="2024-02-13T00:00:00"/>
    <x v="3"/>
    <x v="2"/>
    <x v="1"/>
    <x v="1"/>
    <n v="4"/>
    <n v="220"/>
    <x v="58"/>
    <x v="12"/>
    <s v="medium"/>
  </r>
  <r>
    <n v="10486"/>
    <d v="2023-04-27T00:00:00"/>
    <x v="4"/>
    <x v="1"/>
    <x v="4"/>
    <x v="1"/>
    <n v="14"/>
    <n v="850"/>
    <x v="30"/>
    <x v="0"/>
    <s v="Large"/>
  </r>
  <r>
    <n v="10487"/>
    <d v="2023-05-14T00:00:00"/>
    <x v="2"/>
    <x v="4"/>
    <x v="5"/>
    <x v="0"/>
    <n v="7"/>
    <n v="30"/>
    <x v="63"/>
    <x v="5"/>
    <s v="small"/>
  </r>
  <r>
    <n v="10488"/>
    <d v="2023-02-27T00:00:00"/>
    <x v="0"/>
    <x v="1"/>
    <x v="5"/>
    <x v="0"/>
    <n v="11"/>
    <n v="30"/>
    <x v="40"/>
    <x v="16"/>
    <s v="small"/>
  </r>
  <r>
    <n v="10489"/>
    <d v="2023-06-22T00:00:00"/>
    <x v="0"/>
    <x v="2"/>
    <x v="3"/>
    <x v="0"/>
    <n v="4"/>
    <n v="45"/>
    <x v="19"/>
    <x v="15"/>
    <s v="small"/>
  </r>
  <r>
    <n v="10490"/>
    <d v="2023-05-29T00:00:00"/>
    <x v="3"/>
    <x v="0"/>
    <x v="5"/>
    <x v="0"/>
    <n v="13"/>
    <n v="30"/>
    <x v="31"/>
    <x v="5"/>
    <s v="small"/>
  </r>
  <r>
    <n v="10491"/>
    <d v="2023-03-21T00:00:00"/>
    <x v="1"/>
    <x v="1"/>
    <x v="2"/>
    <x v="0"/>
    <n v="6"/>
    <n v="180"/>
    <x v="13"/>
    <x v="3"/>
    <s v="medium"/>
  </r>
  <r>
    <n v="10492"/>
    <d v="2023-08-01T00:00:00"/>
    <x v="2"/>
    <x v="0"/>
    <x v="0"/>
    <x v="0"/>
    <n v="9"/>
    <n v="75"/>
    <x v="8"/>
    <x v="7"/>
    <s v="medium"/>
  </r>
  <r>
    <n v="10493"/>
    <d v="2023-07-22T00:00:00"/>
    <x v="3"/>
    <x v="0"/>
    <x v="2"/>
    <x v="0"/>
    <n v="1"/>
    <n v="180"/>
    <x v="19"/>
    <x v="13"/>
    <s v="small"/>
  </r>
  <r>
    <n v="10494"/>
    <d v="2023-08-17T00:00:00"/>
    <x v="2"/>
    <x v="3"/>
    <x v="3"/>
    <x v="0"/>
    <n v="13"/>
    <n v="45"/>
    <x v="61"/>
    <x v="7"/>
    <s v="medium"/>
  </r>
  <r>
    <n v="10495"/>
    <d v="2023-08-15T00:00:00"/>
    <x v="1"/>
    <x v="1"/>
    <x v="2"/>
    <x v="0"/>
    <n v="5"/>
    <n v="180"/>
    <x v="3"/>
    <x v="7"/>
    <s v="medium"/>
  </r>
  <r>
    <n v="10496"/>
    <d v="2024-06-15T00:00:00"/>
    <x v="1"/>
    <x v="1"/>
    <x v="0"/>
    <x v="0"/>
    <n v="11"/>
    <n v="75"/>
    <x v="39"/>
    <x v="17"/>
    <s v="medium"/>
  </r>
  <r>
    <n v="10497"/>
    <d v="2024-03-16T00:00:00"/>
    <x v="3"/>
    <x v="0"/>
    <x v="1"/>
    <x v="1"/>
    <n v="7"/>
    <n v="220"/>
    <x v="43"/>
    <x v="1"/>
    <s v="medium"/>
  </r>
  <r>
    <n v="10498"/>
    <d v="2024-02-06T00:00:00"/>
    <x v="1"/>
    <x v="2"/>
    <x v="3"/>
    <x v="0"/>
    <n v="1"/>
    <n v="45"/>
    <x v="47"/>
    <x v="12"/>
    <s v="small"/>
  </r>
  <r>
    <n v="10499"/>
    <d v="2023-02-16T00:00:00"/>
    <x v="4"/>
    <x v="3"/>
    <x v="1"/>
    <x v="1"/>
    <n v="14"/>
    <n v="220"/>
    <x v="1"/>
    <x v="16"/>
    <s v="Large"/>
  </r>
  <r>
    <n v="10500"/>
    <d v="2023-08-21T00:00:00"/>
    <x v="0"/>
    <x v="0"/>
    <x v="4"/>
    <x v="1"/>
    <n v="4"/>
    <n v="850"/>
    <x v="69"/>
    <x v="7"/>
    <s v="Large"/>
  </r>
  <r>
    <m/>
    <m/>
    <x v="5"/>
    <x v="5"/>
    <x v="6"/>
    <x v="2"/>
    <m/>
    <m/>
    <x v="71"/>
    <x v="1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01"/>
    <d v="2023-04-13T00:00:00"/>
    <x v="0"/>
    <x v="0"/>
    <x v="0"/>
    <x v="0"/>
    <n v="1"/>
    <n v="75"/>
    <n v="75"/>
    <x v="0"/>
    <x v="0"/>
  </r>
  <r>
    <n v="10002"/>
    <d v="2024-03-11T00:00:00"/>
    <x v="1"/>
    <x v="1"/>
    <x v="1"/>
    <x v="1"/>
    <n v="14"/>
    <n v="220"/>
    <n v="3080"/>
    <x v="1"/>
    <x v="1"/>
  </r>
  <r>
    <n v="10003"/>
    <d v="2023-09-28T00:00:00"/>
    <x v="1"/>
    <x v="2"/>
    <x v="1"/>
    <x v="1"/>
    <n v="1"/>
    <n v="220"/>
    <n v="220"/>
    <x v="2"/>
    <x v="0"/>
  </r>
  <r>
    <n v="10004"/>
    <d v="2023-04-17T00:00:00"/>
    <x v="0"/>
    <x v="0"/>
    <x v="2"/>
    <x v="0"/>
    <n v="5"/>
    <n v="180"/>
    <n v="900"/>
    <x v="0"/>
    <x v="2"/>
  </r>
  <r>
    <n v="10005"/>
    <d v="2023-03-13T00:00:00"/>
    <x v="2"/>
    <x v="3"/>
    <x v="3"/>
    <x v="0"/>
    <n v="6"/>
    <n v="45"/>
    <n v="270"/>
    <x v="3"/>
    <x v="0"/>
  </r>
  <r>
    <n v="10006"/>
    <d v="2023-01-21T00:00:00"/>
    <x v="3"/>
    <x v="3"/>
    <x v="1"/>
    <x v="1"/>
    <n v="6"/>
    <n v="220"/>
    <n v="1320"/>
    <x v="4"/>
    <x v="2"/>
  </r>
  <r>
    <n v="10007"/>
    <d v="2023-05-02T00:00:00"/>
    <x v="3"/>
    <x v="3"/>
    <x v="4"/>
    <x v="1"/>
    <n v="3"/>
    <n v="850"/>
    <n v="2550"/>
    <x v="5"/>
    <x v="1"/>
  </r>
  <r>
    <n v="10008"/>
    <d v="2024-04-11T00:00:00"/>
    <x v="1"/>
    <x v="3"/>
    <x v="0"/>
    <x v="0"/>
    <n v="7"/>
    <n v="75"/>
    <n v="525"/>
    <x v="6"/>
    <x v="2"/>
  </r>
  <r>
    <n v="10009"/>
    <d v="2023-08-03T00:00:00"/>
    <x v="1"/>
    <x v="1"/>
    <x v="0"/>
    <x v="0"/>
    <n v="9"/>
    <n v="75"/>
    <n v="675"/>
    <x v="7"/>
    <x v="2"/>
  </r>
  <r>
    <n v="10010"/>
    <d v="2023-11-27T00:00:00"/>
    <x v="2"/>
    <x v="2"/>
    <x v="2"/>
    <x v="0"/>
    <n v="11"/>
    <n v="180"/>
    <n v="1980"/>
    <x v="8"/>
    <x v="2"/>
  </r>
  <r>
    <n v="10011"/>
    <d v="2024-04-03T00:00:00"/>
    <x v="4"/>
    <x v="4"/>
    <x v="5"/>
    <x v="0"/>
    <n v="12"/>
    <n v="30"/>
    <n v="360"/>
    <x v="6"/>
    <x v="0"/>
  </r>
  <r>
    <n v="10012"/>
    <d v="2023-03-29T00:00:00"/>
    <x v="0"/>
    <x v="1"/>
    <x v="2"/>
    <x v="0"/>
    <n v="10"/>
    <n v="180"/>
    <n v="1800"/>
    <x v="3"/>
    <x v="2"/>
  </r>
  <r>
    <n v="10013"/>
    <d v="2024-01-08T00:00:00"/>
    <x v="1"/>
    <x v="1"/>
    <x v="5"/>
    <x v="0"/>
    <n v="8"/>
    <n v="30"/>
    <n v="240"/>
    <x v="9"/>
    <x v="0"/>
  </r>
  <r>
    <n v="10014"/>
    <d v="2023-04-10T00:00:00"/>
    <x v="3"/>
    <x v="4"/>
    <x v="2"/>
    <x v="0"/>
    <n v="6"/>
    <n v="180"/>
    <n v="1080"/>
    <x v="0"/>
    <x v="2"/>
  </r>
  <r>
    <n v="10015"/>
    <d v="2023-05-11T00:00:00"/>
    <x v="2"/>
    <x v="4"/>
    <x v="2"/>
    <x v="0"/>
    <n v="12"/>
    <n v="180"/>
    <n v="2160"/>
    <x v="5"/>
    <x v="1"/>
  </r>
  <r>
    <n v="10016"/>
    <d v="2023-11-05T00:00:00"/>
    <x v="0"/>
    <x v="3"/>
    <x v="2"/>
    <x v="0"/>
    <n v="8"/>
    <n v="180"/>
    <n v="1440"/>
    <x v="8"/>
    <x v="2"/>
  </r>
  <r>
    <n v="10017"/>
    <d v="2023-12-10T00:00:00"/>
    <x v="2"/>
    <x v="1"/>
    <x v="5"/>
    <x v="0"/>
    <n v="12"/>
    <n v="30"/>
    <n v="360"/>
    <x v="10"/>
    <x v="0"/>
  </r>
  <r>
    <n v="10018"/>
    <d v="2024-05-06T00:00:00"/>
    <x v="0"/>
    <x v="0"/>
    <x v="5"/>
    <x v="0"/>
    <n v="5"/>
    <n v="30"/>
    <n v="150"/>
    <x v="11"/>
    <x v="0"/>
  </r>
  <r>
    <n v="10019"/>
    <d v="2024-02-18T00:00:00"/>
    <x v="0"/>
    <x v="4"/>
    <x v="2"/>
    <x v="0"/>
    <n v="8"/>
    <n v="180"/>
    <n v="1440"/>
    <x v="12"/>
    <x v="2"/>
  </r>
  <r>
    <n v="10020"/>
    <d v="2024-01-21T00:00:00"/>
    <x v="1"/>
    <x v="4"/>
    <x v="1"/>
    <x v="1"/>
    <n v="10"/>
    <n v="220"/>
    <n v="2200"/>
    <x v="9"/>
    <x v="1"/>
  </r>
  <r>
    <n v="10021"/>
    <d v="2023-07-11T00:00:00"/>
    <x v="2"/>
    <x v="2"/>
    <x v="3"/>
    <x v="0"/>
    <n v="12"/>
    <n v="45"/>
    <n v="540"/>
    <x v="13"/>
    <x v="2"/>
  </r>
  <r>
    <n v="10022"/>
    <d v="2023-10-04T00:00:00"/>
    <x v="2"/>
    <x v="0"/>
    <x v="3"/>
    <x v="0"/>
    <n v="4"/>
    <n v="45"/>
    <n v="180"/>
    <x v="14"/>
    <x v="0"/>
  </r>
  <r>
    <n v="10023"/>
    <d v="2023-06-10T00:00:00"/>
    <x v="3"/>
    <x v="0"/>
    <x v="3"/>
    <x v="0"/>
    <n v="10"/>
    <n v="45"/>
    <n v="450"/>
    <x v="15"/>
    <x v="0"/>
  </r>
  <r>
    <n v="10024"/>
    <d v="2024-04-04T00:00:00"/>
    <x v="3"/>
    <x v="4"/>
    <x v="5"/>
    <x v="0"/>
    <n v="8"/>
    <n v="30"/>
    <n v="240"/>
    <x v="6"/>
    <x v="0"/>
  </r>
  <r>
    <n v="10025"/>
    <d v="2023-11-10T00:00:00"/>
    <x v="1"/>
    <x v="3"/>
    <x v="5"/>
    <x v="0"/>
    <n v="10"/>
    <n v="30"/>
    <n v="300"/>
    <x v="8"/>
    <x v="0"/>
  </r>
  <r>
    <n v="10026"/>
    <d v="2023-01-22T00:00:00"/>
    <x v="1"/>
    <x v="2"/>
    <x v="1"/>
    <x v="1"/>
    <n v="12"/>
    <n v="220"/>
    <n v="2640"/>
    <x v="4"/>
    <x v="1"/>
  </r>
  <r>
    <n v="10027"/>
    <d v="2023-09-10T00:00:00"/>
    <x v="4"/>
    <x v="0"/>
    <x v="3"/>
    <x v="0"/>
    <n v="2"/>
    <n v="45"/>
    <n v="90"/>
    <x v="2"/>
    <x v="0"/>
  </r>
  <r>
    <n v="10028"/>
    <d v="2024-04-19T00:00:00"/>
    <x v="3"/>
    <x v="4"/>
    <x v="3"/>
    <x v="0"/>
    <n v="12"/>
    <n v="45"/>
    <n v="540"/>
    <x v="6"/>
    <x v="2"/>
  </r>
  <r>
    <n v="10029"/>
    <d v="2023-02-28T00:00:00"/>
    <x v="0"/>
    <x v="0"/>
    <x v="2"/>
    <x v="0"/>
    <n v="12"/>
    <n v="180"/>
    <n v="2160"/>
    <x v="16"/>
    <x v="1"/>
  </r>
  <r>
    <n v="10030"/>
    <d v="2024-05-25T00:00:00"/>
    <x v="2"/>
    <x v="2"/>
    <x v="5"/>
    <x v="0"/>
    <n v="5"/>
    <n v="30"/>
    <n v="150"/>
    <x v="11"/>
    <x v="0"/>
  </r>
  <r>
    <n v="10031"/>
    <d v="2024-04-20T00:00:00"/>
    <x v="1"/>
    <x v="2"/>
    <x v="3"/>
    <x v="0"/>
    <n v="9"/>
    <n v="45"/>
    <n v="405"/>
    <x v="6"/>
    <x v="0"/>
  </r>
  <r>
    <n v="10032"/>
    <d v="2023-07-09T00:00:00"/>
    <x v="2"/>
    <x v="1"/>
    <x v="0"/>
    <x v="0"/>
    <n v="4"/>
    <n v="75"/>
    <n v="300"/>
    <x v="13"/>
    <x v="0"/>
  </r>
  <r>
    <n v="10033"/>
    <d v="2023-09-01T00:00:00"/>
    <x v="2"/>
    <x v="4"/>
    <x v="1"/>
    <x v="1"/>
    <n v="11"/>
    <n v="220"/>
    <n v="2420"/>
    <x v="2"/>
    <x v="1"/>
  </r>
  <r>
    <n v="10034"/>
    <d v="2024-05-19T00:00:00"/>
    <x v="4"/>
    <x v="2"/>
    <x v="0"/>
    <x v="0"/>
    <n v="6"/>
    <n v="75"/>
    <n v="450"/>
    <x v="11"/>
    <x v="0"/>
  </r>
  <r>
    <n v="10035"/>
    <d v="2023-05-11T00:00:00"/>
    <x v="3"/>
    <x v="1"/>
    <x v="0"/>
    <x v="0"/>
    <n v="1"/>
    <n v="75"/>
    <n v="75"/>
    <x v="5"/>
    <x v="0"/>
  </r>
  <r>
    <n v="10036"/>
    <d v="2024-04-29T00:00:00"/>
    <x v="1"/>
    <x v="1"/>
    <x v="1"/>
    <x v="1"/>
    <n v="9"/>
    <n v="220"/>
    <n v="1980"/>
    <x v="6"/>
    <x v="2"/>
  </r>
  <r>
    <n v="10037"/>
    <d v="2023-01-21T00:00:00"/>
    <x v="2"/>
    <x v="0"/>
    <x v="0"/>
    <x v="0"/>
    <n v="1"/>
    <n v="75"/>
    <n v="75"/>
    <x v="4"/>
    <x v="0"/>
  </r>
  <r>
    <n v="10038"/>
    <d v="2023-06-16T00:00:00"/>
    <x v="1"/>
    <x v="0"/>
    <x v="3"/>
    <x v="0"/>
    <n v="5"/>
    <n v="45"/>
    <n v="225"/>
    <x v="15"/>
    <x v="0"/>
  </r>
  <r>
    <n v="10039"/>
    <d v="2023-10-01T00:00:00"/>
    <x v="0"/>
    <x v="1"/>
    <x v="5"/>
    <x v="0"/>
    <n v="4"/>
    <n v="30"/>
    <n v="120"/>
    <x v="14"/>
    <x v="0"/>
  </r>
  <r>
    <n v="10040"/>
    <d v="2024-01-23T00:00:00"/>
    <x v="4"/>
    <x v="0"/>
    <x v="1"/>
    <x v="1"/>
    <n v="13"/>
    <n v="220"/>
    <n v="2860"/>
    <x v="9"/>
    <x v="1"/>
  </r>
  <r>
    <n v="10041"/>
    <d v="2023-11-12T00:00:00"/>
    <x v="0"/>
    <x v="2"/>
    <x v="2"/>
    <x v="0"/>
    <n v="12"/>
    <n v="180"/>
    <n v="2160"/>
    <x v="8"/>
    <x v="1"/>
  </r>
  <r>
    <n v="10042"/>
    <d v="2023-01-14T00:00:00"/>
    <x v="1"/>
    <x v="3"/>
    <x v="0"/>
    <x v="0"/>
    <n v="13"/>
    <n v="75"/>
    <n v="975"/>
    <x v="4"/>
    <x v="2"/>
  </r>
  <r>
    <n v="10043"/>
    <d v="2023-08-30T00:00:00"/>
    <x v="1"/>
    <x v="2"/>
    <x v="1"/>
    <x v="1"/>
    <n v="13"/>
    <n v="220"/>
    <n v="2860"/>
    <x v="7"/>
    <x v="1"/>
  </r>
  <r>
    <n v="10044"/>
    <d v="2023-12-12T00:00:00"/>
    <x v="3"/>
    <x v="1"/>
    <x v="4"/>
    <x v="1"/>
    <n v="14"/>
    <n v="850"/>
    <n v="11900"/>
    <x v="10"/>
    <x v="1"/>
  </r>
  <r>
    <n v="10045"/>
    <d v="2023-12-06T00:00:00"/>
    <x v="2"/>
    <x v="1"/>
    <x v="4"/>
    <x v="1"/>
    <n v="3"/>
    <n v="850"/>
    <n v="2550"/>
    <x v="10"/>
    <x v="1"/>
  </r>
  <r>
    <n v="10046"/>
    <d v="2023-04-02T00:00:00"/>
    <x v="2"/>
    <x v="2"/>
    <x v="5"/>
    <x v="0"/>
    <n v="13"/>
    <n v="30"/>
    <n v="390"/>
    <x v="0"/>
    <x v="0"/>
  </r>
  <r>
    <n v="10047"/>
    <d v="2024-01-02T00:00:00"/>
    <x v="0"/>
    <x v="0"/>
    <x v="3"/>
    <x v="0"/>
    <n v="6"/>
    <n v="45"/>
    <n v="270"/>
    <x v="9"/>
    <x v="0"/>
  </r>
  <r>
    <n v="10048"/>
    <d v="2024-03-30T00:00:00"/>
    <x v="4"/>
    <x v="0"/>
    <x v="5"/>
    <x v="0"/>
    <n v="2"/>
    <n v="30"/>
    <n v="60"/>
    <x v="1"/>
    <x v="0"/>
  </r>
  <r>
    <n v="10049"/>
    <d v="2024-03-03T00:00:00"/>
    <x v="2"/>
    <x v="1"/>
    <x v="5"/>
    <x v="0"/>
    <n v="3"/>
    <n v="30"/>
    <n v="90"/>
    <x v="1"/>
    <x v="0"/>
  </r>
  <r>
    <n v="10050"/>
    <d v="2024-05-23T00:00:00"/>
    <x v="3"/>
    <x v="4"/>
    <x v="5"/>
    <x v="0"/>
    <n v="5"/>
    <n v="30"/>
    <n v="150"/>
    <x v="11"/>
    <x v="0"/>
  </r>
  <r>
    <n v="10051"/>
    <d v="2023-02-04T00:00:00"/>
    <x v="0"/>
    <x v="0"/>
    <x v="5"/>
    <x v="0"/>
    <n v="9"/>
    <n v="30"/>
    <n v="270"/>
    <x v="16"/>
    <x v="0"/>
  </r>
  <r>
    <n v="10052"/>
    <d v="2023-07-25T00:00:00"/>
    <x v="0"/>
    <x v="2"/>
    <x v="2"/>
    <x v="0"/>
    <n v="2"/>
    <n v="180"/>
    <n v="360"/>
    <x v="13"/>
    <x v="0"/>
  </r>
  <r>
    <n v="10053"/>
    <d v="2023-03-22T00:00:00"/>
    <x v="3"/>
    <x v="0"/>
    <x v="2"/>
    <x v="0"/>
    <n v="10"/>
    <n v="180"/>
    <n v="1800"/>
    <x v="3"/>
    <x v="2"/>
  </r>
  <r>
    <n v="10054"/>
    <d v="2024-01-23T00:00:00"/>
    <x v="4"/>
    <x v="2"/>
    <x v="1"/>
    <x v="1"/>
    <n v="8"/>
    <n v="220"/>
    <n v="1760"/>
    <x v="9"/>
    <x v="2"/>
  </r>
  <r>
    <n v="10055"/>
    <d v="2023-01-02T00:00:00"/>
    <x v="3"/>
    <x v="1"/>
    <x v="4"/>
    <x v="1"/>
    <n v="14"/>
    <n v="850"/>
    <n v="11900"/>
    <x v="4"/>
    <x v="1"/>
  </r>
  <r>
    <n v="10056"/>
    <d v="2024-01-25T00:00:00"/>
    <x v="4"/>
    <x v="0"/>
    <x v="5"/>
    <x v="0"/>
    <n v="2"/>
    <n v="30"/>
    <n v="60"/>
    <x v="9"/>
    <x v="0"/>
  </r>
  <r>
    <n v="10057"/>
    <d v="2023-04-16T00:00:00"/>
    <x v="3"/>
    <x v="2"/>
    <x v="1"/>
    <x v="1"/>
    <n v="11"/>
    <n v="220"/>
    <n v="2420"/>
    <x v="0"/>
    <x v="1"/>
  </r>
  <r>
    <n v="10058"/>
    <d v="2024-04-21T00:00:00"/>
    <x v="3"/>
    <x v="1"/>
    <x v="4"/>
    <x v="1"/>
    <n v="13"/>
    <n v="850"/>
    <n v="11050"/>
    <x v="6"/>
    <x v="1"/>
  </r>
  <r>
    <n v="10059"/>
    <d v="2024-02-06T00:00:00"/>
    <x v="1"/>
    <x v="4"/>
    <x v="0"/>
    <x v="0"/>
    <n v="5"/>
    <n v="75"/>
    <n v="375"/>
    <x v="12"/>
    <x v="0"/>
  </r>
  <r>
    <n v="10060"/>
    <d v="2023-06-11T00:00:00"/>
    <x v="0"/>
    <x v="2"/>
    <x v="3"/>
    <x v="0"/>
    <n v="7"/>
    <n v="45"/>
    <n v="315"/>
    <x v="15"/>
    <x v="0"/>
  </r>
  <r>
    <n v="10061"/>
    <d v="2023-07-21T00:00:00"/>
    <x v="3"/>
    <x v="4"/>
    <x v="2"/>
    <x v="0"/>
    <n v="8"/>
    <n v="180"/>
    <n v="1440"/>
    <x v="13"/>
    <x v="2"/>
  </r>
  <r>
    <n v="10062"/>
    <d v="2023-09-27T00:00:00"/>
    <x v="3"/>
    <x v="4"/>
    <x v="0"/>
    <x v="0"/>
    <n v="1"/>
    <n v="75"/>
    <n v="75"/>
    <x v="2"/>
    <x v="0"/>
  </r>
  <r>
    <n v="10063"/>
    <d v="2023-09-28T00:00:00"/>
    <x v="2"/>
    <x v="3"/>
    <x v="4"/>
    <x v="1"/>
    <n v="6"/>
    <n v="850"/>
    <n v="5100"/>
    <x v="2"/>
    <x v="1"/>
  </r>
  <r>
    <n v="10064"/>
    <d v="2024-03-31T00:00:00"/>
    <x v="0"/>
    <x v="0"/>
    <x v="0"/>
    <x v="0"/>
    <n v="1"/>
    <n v="75"/>
    <n v="75"/>
    <x v="1"/>
    <x v="0"/>
  </r>
  <r>
    <n v="10065"/>
    <d v="2024-04-06T00:00:00"/>
    <x v="2"/>
    <x v="2"/>
    <x v="3"/>
    <x v="0"/>
    <n v="2"/>
    <n v="45"/>
    <n v="90"/>
    <x v="6"/>
    <x v="0"/>
  </r>
  <r>
    <n v="10066"/>
    <d v="2023-09-09T00:00:00"/>
    <x v="0"/>
    <x v="4"/>
    <x v="4"/>
    <x v="1"/>
    <n v="1"/>
    <n v="850"/>
    <n v="850"/>
    <x v="2"/>
    <x v="2"/>
  </r>
  <r>
    <n v="10067"/>
    <d v="2023-10-23T00:00:00"/>
    <x v="2"/>
    <x v="3"/>
    <x v="0"/>
    <x v="0"/>
    <n v="11"/>
    <n v="75"/>
    <n v="825"/>
    <x v="14"/>
    <x v="2"/>
  </r>
  <r>
    <n v="10068"/>
    <d v="2023-12-04T00:00:00"/>
    <x v="3"/>
    <x v="1"/>
    <x v="2"/>
    <x v="0"/>
    <n v="5"/>
    <n v="180"/>
    <n v="900"/>
    <x v="10"/>
    <x v="2"/>
  </r>
  <r>
    <n v="10069"/>
    <d v="2023-02-22T00:00:00"/>
    <x v="3"/>
    <x v="2"/>
    <x v="2"/>
    <x v="0"/>
    <n v="10"/>
    <n v="180"/>
    <n v="1800"/>
    <x v="16"/>
    <x v="2"/>
  </r>
  <r>
    <n v="10070"/>
    <d v="2023-08-05T00:00:00"/>
    <x v="1"/>
    <x v="4"/>
    <x v="1"/>
    <x v="1"/>
    <n v="9"/>
    <n v="220"/>
    <n v="1980"/>
    <x v="7"/>
    <x v="2"/>
  </r>
  <r>
    <n v="10071"/>
    <d v="2023-07-07T00:00:00"/>
    <x v="2"/>
    <x v="0"/>
    <x v="0"/>
    <x v="0"/>
    <n v="6"/>
    <n v="75"/>
    <n v="450"/>
    <x v="13"/>
    <x v="0"/>
  </r>
  <r>
    <n v="10072"/>
    <d v="2024-01-15T00:00:00"/>
    <x v="4"/>
    <x v="3"/>
    <x v="5"/>
    <x v="0"/>
    <n v="11"/>
    <n v="30"/>
    <n v="330"/>
    <x v="9"/>
    <x v="0"/>
  </r>
  <r>
    <n v="10073"/>
    <d v="2024-05-07T00:00:00"/>
    <x v="1"/>
    <x v="4"/>
    <x v="0"/>
    <x v="0"/>
    <n v="11"/>
    <n v="75"/>
    <n v="825"/>
    <x v="11"/>
    <x v="2"/>
  </r>
  <r>
    <n v="10074"/>
    <d v="2023-02-10T00:00:00"/>
    <x v="2"/>
    <x v="0"/>
    <x v="4"/>
    <x v="1"/>
    <n v="1"/>
    <n v="850"/>
    <n v="850"/>
    <x v="16"/>
    <x v="2"/>
  </r>
  <r>
    <n v="10075"/>
    <d v="2023-06-06T00:00:00"/>
    <x v="2"/>
    <x v="4"/>
    <x v="4"/>
    <x v="1"/>
    <n v="13"/>
    <n v="850"/>
    <n v="11050"/>
    <x v="15"/>
    <x v="1"/>
  </r>
  <r>
    <n v="10076"/>
    <d v="2023-01-15T00:00:00"/>
    <x v="1"/>
    <x v="2"/>
    <x v="0"/>
    <x v="0"/>
    <n v="1"/>
    <n v="75"/>
    <n v="75"/>
    <x v="4"/>
    <x v="0"/>
  </r>
  <r>
    <n v="10077"/>
    <d v="2023-03-06T00:00:00"/>
    <x v="3"/>
    <x v="2"/>
    <x v="3"/>
    <x v="0"/>
    <n v="2"/>
    <n v="45"/>
    <n v="90"/>
    <x v="3"/>
    <x v="0"/>
  </r>
  <r>
    <n v="10078"/>
    <d v="2024-06-04T00:00:00"/>
    <x v="2"/>
    <x v="2"/>
    <x v="2"/>
    <x v="0"/>
    <n v="9"/>
    <n v="180"/>
    <n v="1620"/>
    <x v="17"/>
    <x v="2"/>
  </r>
  <r>
    <n v="10079"/>
    <d v="2023-12-10T00:00:00"/>
    <x v="3"/>
    <x v="3"/>
    <x v="4"/>
    <x v="1"/>
    <n v="3"/>
    <n v="850"/>
    <n v="2550"/>
    <x v="10"/>
    <x v="1"/>
  </r>
  <r>
    <n v="10080"/>
    <d v="2023-05-09T00:00:00"/>
    <x v="1"/>
    <x v="2"/>
    <x v="2"/>
    <x v="0"/>
    <n v="1"/>
    <n v="180"/>
    <n v="180"/>
    <x v="5"/>
    <x v="0"/>
  </r>
  <r>
    <n v="10081"/>
    <d v="2024-04-16T00:00:00"/>
    <x v="3"/>
    <x v="0"/>
    <x v="4"/>
    <x v="1"/>
    <n v="5"/>
    <n v="850"/>
    <n v="4250"/>
    <x v="6"/>
    <x v="1"/>
  </r>
  <r>
    <n v="10082"/>
    <d v="2023-03-04T00:00:00"/>
    <x v="0"/>
    <x v="4"/>
    <x v="1"/>
    <x v="1"/>
    <n v="7"/>
    <n v="220"/>
    <n v="1540"/>
    <x v="3"/>
    <x v="2"/>
  </r>
  <r>
    <n v="10083"/>
    <d v="2023-05-19T00:00:00"/>
    <x v="4"/>
    <x v="1"/>
    <x v="5"/>
    <x v="0"/>
    <n v="6"/>
    <n v="30"/>
    <n v="180"/>
    <x v="5"/>
    <x v="0"/>
  </r>
  <r>
    <n v="10084"/>
    <d v="2024-05-13T00:00:00"/>
    <x v="2"/>
    <x v="0"/>
    <x v="4"/>
    <x v="1"/>
    <n v="12"/>
    <n v="850"/>
    <n v="10200"/>
    <x v="11"/>
    <x v="1"/>
  </r>
  <r>
    <n v="10085"/>
    <d v="2024-01-27T00:00:00"/>
    <x v="4"/>
    <x v="0"/>
    <x v="2"/>
    <x v="0"/>
    <n v="1"/>
    <n v="180"/>
    <n v="180"/>
    <x v="9"/>
    <x v="0"/>
  </r>
  <r>
    <n v="10086"/>
    <d v="2024-02-23T00:00:00"/>
    <x v="3"/>
    <x v="2"/>
    <x v="1"/>
    <x v="1"/>
    <n v="5"/>
    <n v="220"/>
    <n v="1100"/>
    <x v="12"/>
    <x v="2"/>
  </r>
  <r>
    <n v="10087"/>
    <d v="2023-10-16T00:00:00"/>
    <x v="2"/>
    <x v="3"/>
    <x v="4"/>
    <x v="1"/>
    <n v="5"/>
    <n v="850"/>
    <n v="4250"/>
    <x v="14"/>
    <x v="1"/>
  </r>
  <r>
    <n v="10088"/>
    <d v="2024-01-14T00:00:00"/>
    <x v="3"/>
    <x v="4"/>
    <x v="3"/>
    <x v="0"/>
    <n v="6"/>
    <n v="45"/>
    <n v="270"/>
    <x v="9"/>
    <x v="0"/>
  </r>
  <r>
    <n v="10089"/>
    <d v="2024-05-04T00:00:00"/>
    <x v="0"/>
    <x v="3"/>
    <x v="5"/>
    <x v="0"/>
    <n v="3"/>
    <n v="30"/>
    <n v="90"/>
    <x v="11"/>
    <x v="0"/>
  </r>
  <r>
    <n v="10090"/>
    <d v="2023-08-19T00:00:00"/>
    <x v="1"/>
    <x v="4"/>
    <x v="4"/>
    <x v="1"/>
    <n v="5"/>
    <n v="850"/>
    <n v="4250"/>
    <x v="7"/>
    <x v="1"/>
  </r>
  <r>
    <n v="10091"/>
    <d v="2023-02-10T00:00:00"/>
    <x v="2"/>
    <x v="4"/>
    <x v="1"/>
    <x v="1"/>
    <n v="7"/>
    <n v="220"/>
    <n v="1540"/>
    <x v="16"/>
    <x v="2"/>
  </r>
  <r>
    <n v="10092"/>
    <d v="2023-01-28T00:00:00"/>
    <x v="0"/>
    <x v="3"/>
    <x v="3"/>
    <x v="0"/>
    <n v="5"/>
    <n v="45"/>
    <n v="225"/>
    <x v="4"/>
    <x v="0"/>
  </r>
  <r>
    <n v="10093"/>
    <d v="2023-05-15T00:00:00"/>
    <x v="0"/>
    <x v="0"/>
    <x v="0"/>
    <x v="0"/>
    <n v="5"/>
    <n v="75"/>
    <n v="375"/>
    <x v="5"/>
    <x v="0"/>
  </r>
  <r>
    <n v="10094"/>
    <d v="2023-07-20T00:00:00"/>
    <x v="2"/>
    <x v="4"/>
    <x v="1"/>
    <x v="1"/>
    <n v="5"/>
    <n v="220"/>
    <n v="1100"/>
    <x v="13"/>
    <x v="2"/>
  </r>
  <r>
    <n v="10095"/>
    <d v="2023-02-02T00:00:00"/>
    <x v="3"/>
    <x v="3"/>
    <x v="1"/>
    <x v="1"/>
    <n v="10"/>
    <n v="220"/>
    <n v="2200"/>
    <x v="16"/>
    <x v="1"/>
  </r>
  <r>
    <n v="10096"/>
    <d v="2023-02-17T00:00:00"/>
    <x v="0"/>
    <x v="4"/>
    <x v="3"/>
    <x v="0"/>
    <n v="10"/>
    <n v="45"/>
    <n v="450"/>
    <x v="16"/>
    <x v="0"/>
  </r>
  <r>
    <n v="10097"/>
    <d v="2024-05-17T00:00:00"/>
    <x v="4"/>
    <x v="1"/>
    <x v="1"/>
    <x v="1"/>
    <n v="3"/>
    <n v="220"/>
    <n v="660"/>
    <x v="11"/>
    <x v="2"/>
  </r>
  <r>
    <n v="10098"/>
    <d v="2024-02-11T00:00:00"/>
    <x v="0"/>
    <x v="0"/>
    <x v="3"/>
    <x v="0"/>
    <n v="1"/>
    <n v="45"/>
    <n v="45"/>
    <x v="12"/>
    <x v="0"/>
  </r>
  <r>
    <n v="10099"/>
    <d v="2023-04-09T00:00:00"/>
    <x v="3"/>
    <x v="2"/>
    <x v="4"/>
    <x v="1"/>
    <n v="5"/>
    <n v="850"/>
    <n v="4250"/>
    <x v="0"/>
    <x v="1"/>
  </r>
  <r>
    <n v="10100"/>
    <d v="2024-06-30T00:00:00"/>
    <x v="3"/>
    <x v="4"/>
    <x v="3"/>
    <x v="0"/>
    <n v="14"/>
    <n v="45"/>
    <n v="630"/>
    <x v="17"/>
    <x v="2"/>
  </r>
  <r>
    <n v="10101"/>
    <d v="2024-04-06T00:00:00"/>
    <x v="4"/>
    <x v="1"/>
    <x v="3"/>
    <x v="0"/>
    <n v="9"/>
    <n v="45"/>
    <n v="405"/>
    <x v="6"/>
    <x v="0"/>
  </r>
  <r>
    <n v="10102"/>
    <d v="2023-01-05T00:00:00"/>
    <x v="0"/>
    <x v="2"/>
    <x v="5"/>
    <x v="0"/>
    <n v="14"/>
    <n v="30"/>
    <n v="420"/>
    <x v="4"/>
    <x v="0"/>
  </r>
  <r>
    <n v="10103"/>
    <d v="2023-08-06T00:00:00"/>
    <x v="3"/>
    <x v="2"/>
    <x v="3"/>
    <x v="0"/>
    <n v="1"/>
    <n v="45"/>
    <n v="45"/>
    <x v="7"/>
    <x v="0"/>
  </r>
  <r>
    <n v="10104"/>
    <d v="2024-05-17T00:00:00"/>
    <x v="2"/>
    <x v="4"/>
    <x v="3"/>
    <x v="0"/>
    <n v="3"/>
    <n v="45"/>
    <n v="135"/>
    <x v="11"/>
    <x v="0"/>
  </r>
  <r>
    <n v="10105"/>
    <d v="2024-02-02T00:00:00"/>
    <x v="1"/>
    <x v="3"/>
    <x v="0"/>
    <x v="0"/>
    <n v="13"/>
    <n v="75"/>
    <n v="975"/>
    <x v="12"/>
    <x v="2"/>
  </r>
  <r>
    <n v="10106"/>
    <d v="2024-01-28T00:00:00"/>
    <x v="1"/>
    <x v="4"/>
    <x v="4"/>
    <x v="1"/>
    <n v="13"/>
    <n v="850"/>
    <n v="11050"/>
    <x v="9"/>
    <x v="1"/>
  </r>
  <r>
    <n v="10107"/>
    <d v="2023-07-26T00:00:00"/>
    <x v="1"/>
    <x v="1"/>
    <x v="5"/>
    <x v="0"/>
    <n v="4"/>
    <n v="30"/>
    <n v="120"/>
    <x v="13"/>
    <x v="0"/>
  </r>
  <r>
    <n v="10108"/>
    <d v="2023-01-15T00:00:00"/>
    <x v="0"/>
    <x v="2"/>
    <x v="0"/>
    <x v="0"/>
    <n v="14"/>
    <n v="75"/>
    <n v="1050"/>
    <x v="4"/>
    <x v="2"/>
  </r>
  <r>
    <n v="10109"/>
    <d v="2024-04-05T00:00:00"/>
    <x v="4"/>
    <x v="4"/>
    <x v="2"/>
    <x v="0"/>
    <n v="1"/>
    <n v="180"/>
    <n v="180"/>
    <x v="6"/>
    <x v="0"/>
  </r>
  <r>
    <n v="10110"/>
    <d v="2023-08-29T00:00:00"/>
    <x v="3"/>
    <x v="3"/>
    <x v="4"/>
    <x v="1"/>
    <n v="1"/>
    <n v="850"/>
    <n v="850"/>
    <x v="7"/>
    <x v="2"/>
  </r>
  <r>
    <n v="10111"/>
    <d v="2023-04-06T00:00:00"/>
    <x v="2"/>
    <x v="4"/>
    <x v="4"/>
    <x v="1"/>
    <n v="8"/>
    <n v="850"/>
    <n v="6800"/>
    <x v="0"/>
    <x v="1"/>
  </r>
  <r>
    <n v="10112"/>
    <d v="2024-04-29T00:00:00"/>
    <x v="2"/>
    <x v="0"/>
    <x v="2"/>
    <x v="0"/>
    <n v="2"/>
    <n v="180"/>
    <n v="360"/>
    <x v="6"/>
    <x v="0"/>
  </r>
  <r>
    <n v="10113"/>
    <d v="2024-02-11T00:00:00"/>
    <x v="0"/>
    <x v="3"/>
    <x v="3"/>
    <x v="0"/>
    <n v="12"/>
    <n v="45"/>
    <n v="540"/>
    <x v="12"/>
    <x v="2"/>
  </r>
  <r>
    <n v="10114"/>
    <d v="2023-08-19T00:00:00"/>
    <x v="1"/>
    <x v="1"/>
    <x v="0"/>
    <x v="0"/>
    <n v="8"/>
    <n v="75"/>
    <n v="600"/>
    <x v="7"/>
    <x v="2"/>
  </r>
  <r>
    <n v="10115"/>
    <d v="2023-06-20T00:00:00"/>
    <x v="0"/>
    <x v="2"/>
    <x v="1"/>
    <x v="1"/>
    <n v="7"/>
    <n v="220"/>
    <n v="1540"/>
    <x v="15"/>
    <x v="2"/>
  </r>
  <r>
    <n v="10116"/>
    <d v="2024-06-24T00:00:00"/>
    <x v="4"/>
    <x v="4"/>
    <x v="5"/>
    <x v="0"/>
    <n v="10"/>
    <n v="30"/>
    <n v="300"/>
    <x v="17"/>
    <x v="0"/>
  </r>
  <r>
    <n v="10117"/>
    <d v="2023-02-05T00:00:00"/>
    <x v="4"/>
    <x v="3"/>
    <x v="1"/>
    <x v="1"/>
    <n v="10"/>
    <n v="220"/>
    <n v="2200"/>
    <x v="16"/>
    <x v="1"/>
  </r>
  <r>
    <n v="10118"/>
    <d v="2024-06-08T00:00:00"/>
    <x v="3"/>
    <x v="0"/>
    <x v="2"/>
    <x v="0"/>
    <n v="2"/>
    <n v="180"/>
    <n v="360"/>
    <x v="17"/>
    <x v="0"/>
  </r>
  <r>
    <n v="10119"/>
    <d v="2023-06-09T00:00:00"/>
    <x v="3"/>
    <x v="3"/>
    <x v="4"/>
    <x v="1"/>
    <n v="6"/>
    <n v="850"/>
    <n v="5100"/>
    <x v="15"/>
    <x v="1"/>
  </r>
  <r>
    <n v="10120"/>
    <d v="2023-08-31T00:00:00"/>
    <x v="4"/>
    <x v="0"/>
    <x v="4"/>
    <x v="1"/>
    <n v="6"/>
    <n v="850"/>
    <n v="5100"/>
    <x v="7"/>
    <x v="1"/>
  </r>
  <r>
    <n v="10121"/>
    <d v="2023-03-27T00:00:00"/>
    <x v="4"/>
    <x v="1"/>
    <x v="5"/>
    <x v="0"/>
    <n v="3"/>
    <n v="30"/>
    <n v="90"/>
    <x v="3"/>
    <x v="0"/>
  </r>
  <r>
    <n v="10122"/>
    <d v="2023-01-28T00:00:00"/>
    <x v="4"/>
    <x v="2"/>
    <x v="4"/>
    <x v="1"/>
    <n v="11"/>
    <n v="850"/>
    <n v="9350"/>
    <x v="4"/>
    <x v="1"/>
  </r>
  <r>
    <n v="10123"/>
    <d v="2023-12-06T00:00:00"/>
    <x v="0"/>
    <x v="1"/>
    <x v="4"/>
    <x v="1"/>
    <n v="2"/>
    <n v="850"/>
    <n v="1700"/>
    <x v="10"/>
    <x v="2"/>
  </r>
  <r>
    <n v="10124"/>
    <d v="2023-11-27T00:00:00"/>
    <x v="4"/>
    <x v="4"/>
    <x v="5"/>
    <x v="0"/>
    <n v="12"/>
    <n v="30"/>
    <n v="360"/>
    <x v="8"/>
    <x v="0"/>
  </r>
  <r>
    <n v="10125"/>
    <d v="2024-05-20T00:00:00"/>
    <x v="2"/>
    <x v="3"/>
    <x v="0"/>
    <x v="0"/>
    <n v="1"/>
    <n v="75"/>
    <n v="75"/>
    <x v="11"/>
    <x v="0"/>
  </r>
  <r>
    <n v="10126"/>
    <d v="2023-12-14T00:00:00"/>
    <x v="1"/>
    <x v="0"/>
    <x v="0"/>
    <x v="0"/>
    <n v="6"/>
    <n v="75"/>
    <n v="450"/>
    <x v="10"/>
    <x v="0"/>
  </r>
  <r>
    <n v="10127"/>
    <d v="2024-04-17T00:00:00"/>
    <x v="4"/>
    <x v="0"/>
    <x v="5"/>
    <x v="0"/>
    <n v="12"/>
    <n v="30"/>
    <n v="360"/>
    <x v="6"/>
    <x v="0"/>
  </r>
  <r>
    <n v="10128"/>
    <d v="2023-08-19T00:00:00"/>
    <x v="1"/>
    <x v="3"/>
    <x v="2"/>
    <x v="0"/>
    <n v="5"/>
    <n v="180"/>
    <n v="900"/>
    <x v="7"/>
    <x v="2"/>
  </r>
  <r>
    <n v="10129"/>
    <d v="2023-07-09T00:00:00"/>
    <x v="0"/>
    <x v="3"/>
    <x v="4"/>
    <x v="1"/>
    <n v="14"/>
    <n v="850"/>
    <n v="11900"/>
    <x v="13"/>
    <x v="1"/>
  </r>
  <r>
    <n v="10130"/>
    <d v="2023-08-13T00:00:00"/>
    <x v="1"/>
    <x v="4"/>
    <x v="4"/>
    <x v="1"/>
    <n v="14"/>
    <n v="850"/>
    <n v="11900"/>
    <x v="7"/>
    <x v="1"/>
  </r>
  <r>
    <n v="10131"/>
    <d v="2024-01-20T00:00:00"/>
    <x v="0"/>
    <x v="1"/>
    <x v="2"/>
    <x v="0"/>
    <n v="11"/>
    <n v="180"/>
    <n v="1980"/>
    <x v="9"/>
    <x v="2"/>
  </r>
  <r>
    <n v="10132"/>
    <d v="2024-01-12T00:00:00"/>
    <x v="2"/>
    <x v="0"/>
    <x v="0"/>
    <x v="0"/>
    <n v="9"/>
    <n v="75"/>
    <n v="675"/>
    <x v="9"/>
    <x v="2"/>
  </r>
  <r>
    <n v="10133"/>
    <d v="2023-10-10T00:00:00"/>
    <x v="0"/>
    <x v="4"/>
    <x v="3"/>
    <x v="0"/>
    <n v="1"/>
    <n v="45"/>
    <n v="45"/>
    <x v="14"/>
    <x v="0"/>
  </r>
  <r>
    <n v="10134"/>
    <d v="2023-09-16T00:00:00"/>
    <x v="0"/>
    <x v="1"/>
    <x v="3"/>
    <x v="0"/>
    <n v="7"/>
    <n v="45"/>
    <n v="315"/>
    <x v="2"/>
    <x v="0"/>
  </r>
  <r>
    <n v="10135"/>
    <d v="2023-12-25T00:00:00"/>
    <x v="3"/>
    <x v="4"/>
    <x v="3"/>
    <x v="0"/>
    <n v="5"/>
    <n v="45"/>
    <n v="225"/>
    <x v="10"/>
    <x v="0"/>
  </r>
  <r>
    <n v="10136"/>
    <d v="2024-03-31T00:00:00"/>
    <x v="4"/>
    <x v="0"/>
    <x v="0"/>
    <x v="0"/>
    <n v="5"/>
    <n v="75"/>
    <n v="375"/>
    <x v="1"/>
    <x v="0"/>
  </r>
  <r>
    <n v="10137"/>
    <d v="2024-02-15T00:00:00"/>
    <x v="4"/>
    <x v="3"/>
    <x v="0"/>
    <x v="0"/>
    <n v="14"/>
    <n v="75"/>
    <n v="1050"/>
    <x v="12"/>
    <x v="2"/>
  </r>
  <r>
    <n v="10138"/>
    <d v="2023-11-14T00:00:00"/>
    <x v="2"/>
    <x v="3"/>
    <x v="2"/>
    <x v="0"/>
    <n v="2"/>
    <n v="180"/>
    <n v="360"/>
    <x v="8"/>
    <x v="0"/>
  </r>
  <r>
    <n v="10139"/>
    <d v="2023-08-13T00:00:00"/>
    <x v="2"/>
    <x v="1"/>
    <x v="4"/>
    <x v="1"/>
    <n v="11"/>
    <n v="850"/>
    <n v="9350"/>
    <x v="7"/>
    <x v="1"/>
  </r>
  <r>
    <n v="10140"/>
    <d v="2023-08-22T00:00:00"/>
    <x v="4"/>
    <x v="2"/>
    <x v="2"/>
    <x v="0"/>
    <n v="3"/>
    <n v="180"/>
    <n v="540"/>
    <x v="7"/>
    <x v="2"/>
  </r>
  <r>
    <n v="10141"/>
    <d v="2024-01-09T00:00:00"/>
    <x v="3"/>
    <x v="1"/>
    <x v="2"/>
    <x v="0"/>
    <n v="7"/>
    <n v="180"/>
    <n v="1260"/>
    <x v="9"/>
    <x v="2"/>
  </r>
  <r>
    <n v="10142"/>
    <d v="2024-04-16T00:00:00"/>
    <x v="4"/>
    <x v="2"/>
    <x v="0"/>
    <x v="0"/>
    <n v="6"/>
    <n v="75"/>
    <n v="450"/>
    <x v="6"/>
    <x v="0"/>
  </r>
  <r>
    <n v="10143"/>
    <d v="2023-08-21T00:00:00"/>
    <x v="3"/>
    <x v="4"/>
    <x v="3"/>
    <x v="0"/>
    <n v="12"/>
    <n v="45"/>
    <n v="540"/>
    <x v="7"/>
    <x v="2"/>
  </r>
  <r>
    <n v="10144"/>
    <d v="2023-04-23T00:00:00"/>
    <x v="2"/>
    <x v="4"/>
    <x v="1"/>
    <x v="1"/>
    <n v="2"/>
    <n v="220"/>
    <n v="440"/>
    <x v="0"/>
    <x v="0"/>
  </r>
  <r>
    <n v="10145"/>
    <d v="2024-05-11T00:00:00"/>
    <x v="1"/>
    <x v="0"/>
    <x v="4"/>
    <x v="1"/>
    <n v="6"/>
    <n v="850"/>
    <n v="5100"/>
    <x v="11"/>
    <x v="1"/>
  </r>
  <r>
    <n v="10146"/>
    <d v="2024-03-17T00:00:00"/>
    <x v="2"/>
    <x v="2"/>
    <x v="0"/>
    <x v="0"/>
    <n v="2"/>
    <n v="75"/>
    <n v="150"/>
    <x v="1"/>
    <x v="0"/>
  </r>
  <r>
    <n v="10147"/>
    <d v="2023-09-25T00:00:00"/>
    <x v="2"/>
    <x v="0"/>
    <x v="3"/>
    <x v="0"/>
    <n v="2"/>
    <n v="45"/>
    <n v="90"/>
    <x v="2"/>
    <x v="0"/>
  </r>
  <r>
    <n v="10148"/>
    <d v="2024-05-24T00:00:00"/>
    <x v="0"/>
    <x v="3"/>
    <x v="1"/>
    <x v="1"/>
    <n v="2"/>
    <n v="220"/>
    <n v="440"/>
    <x v="11"/>
    <x v="0"/>
  </r>
  <r>
    <n v="10149"/>
    <d v="2024-01-21T00:00:00"/>
    <x v="0"/>
    <x v="2"/>
    <x v="1"/>
    <x v="1"/>
    <n v="14"/>
    <n v="220"/>
    <n v="3080"/>
    <x v="9"/>
    <x v="1"/>
  </r>
  <r>
    <n v="10150"/>
    <d v="2024-01-22T00:00:00"/>
    <x v="0"/>
    <x v="1"/>
    <x v="0"/>
    <x v="0"/>
    <n v="11"/>
    <n v="75"/>
    <n v="825"/>
    <x v="9"/>
    <x v="2"/>
  </r>
  <r>
    <n v="10151"/>
    <d v="2023-04-23T00:00:00"/>
    <x v="0"/>
    <x v="3"/>
    <x v="5"/>
    <x v="0"/>
    <n v="3"/>
    <n v="30"/>
    <n v="90"/>
    <x v="0"/>
    <x v="0"/>
  </r>
  <r>
    <n v="10152"/>
    <d v="2023-03-22T00:00:00"/>
    <x v="3"/>
    <x v="3"/>
    <x v="4"/>
    <x v="1"/>
    <n v="2"/>
    <n v="850"/>
    <n v="1700"/>
    <x v="3"/>
    <x v="2"/>
  </r>
  <r>
    <n v="10153"/>
    <d v="2023-04-23T00:00:00"/>
    <x v="4"/>
    <x v="1"/>
    <x v="1"/>
    <x v="1"/>
    <n v="4"/>
    <n v="220"/>
    <n v="880"/>
    <x v="0"/>
    <x v="2"/>
  </r>
  <r>
    <n v="10154"/>
    <d v="2023-01-02T00:00:00"/>
    <x v="1"/>
    <x v="3"/>
    <x v="0"/>
    <x v="0"/>
    <n v="9"/>
    <n v="75"/>
    <n v="675"/>
    <x v="4"/>
    <x v="2"/>
  </r>
  <r>
    <n v="10155"/>
    <d v="2023-08-08T00:00:00"/>
    <x v="2"/>
    <x v="2"/>
    <x v="0"/>
    <x v="0"/>
    <n v="6"/>
    <n v="75"/>
    <n v="450"/>
    <x v="7"/>
    <x v="0"/>
  </r>
  <r>
    <n v="10156"/>
    <d v="2023-08-13T00:00:00"/>
    <x v="3"/>
    <x v="0"/>
    <x v="3"/>
    <x v="0"/>
    <n v="1"/>
    <n v="45"/>
    <n v="45"/>
    <x v="7"/>
    <x v="0"/>
  </r>
  <r>
    <n v="10157"/>
    <d v="2024-01-20T00:00:00"/>
    <x v="1"/>
    <x v="3"/>
    <x v="5"/>
    <x v="0"/>
    <n v="8"/>
    <n v="30"/>
    <n v="240"/>
    <x v="9"/>
    <x v="0"/>
  </r>
  <r>
    <n v="10158"/>
    <d v="2024-02-07T00:00:00"/>
    <x v="3"/>
    <x v="2"/>
    <x v="4"/>
    <x v="1"/>
    <n v="12"/>
    <n v="850"/>
    <n v="10200"/>
    <x v="12"/>
    <x v="1"/>
  </r>
  <r>
    <n v="10159"/>
    <d v="2023-05-10T00:00:00"/>
    <x v="3"/>
    <x v="4"/>
    <x v="2"/>
    <x v="0"/>
    <n v="14"/>
    <n v="180"/>
    <n v="2520"/>
    <x v="5"/>
    <x v="1"/>
  </r>
  <r>
    <n v="10160"/>
    <d v="2023-02-22T00:00:00"/>
    <x v="2"/>
    <x v="2"/>
    <x v="3"/>
    <x v="0"/>
    <n v="7"/>
    <n v="45"/>
    <n v="315"/>
    <x v="16"/>
    <x v="0"/>
  </r>
  <r>
    <n v="10161"/>
    <d v="2024-02-20T00:00:00"/>
    <x v="4"/>
    <x v="0"/>
    <x v="1"/>
    <x v="1"/>
    <n v="10"/>
    <n v="220"/>
    <n v="2200"/>
    <x v="12"/>
    <x v="1"/>
  </r>
  <r>
    <n v="10162"/>
    <d v="2023-09-04T00:00:00"/>
    <x v="0"/>
    <x v="2"/>
    <x v="1"/>
    <x v="1"/>
    <n v="3"/>
    <n v="220"/>
    <n v="660"/>
    <x v="2"/>
    <x v="2"/>
  </r>
  <r>
    <n v="10163"/>
    <d v="2024-03-14T00:00:00"/>
    <x v="4"/>
    <x v="1"/>
    <x v="3"/>
    <x v="0"/>
    <n v="1"/>
    <n v="45"/>
    <n v="45"/>
    <x v="1"/>
    <x v="0"/>
  </r>
  <r>
    <n v="10164"/>
    <d v="2023-07-22T00:00:00"/>
    <x v="2"/>
    <x v="0"/>
    <x v="0"/>
    <x v="0"/>
    <n v="5"/>
    <n v="75"/>
    <n v="375"/>
    <x v="13"/>
    <x v="0"/>
  </r>
  <r>
    <n v="10165"/>
    <d v="2023-07-03T00:00:00"/>
    <x v="2"/>
    <x v="4"/>
    <x v="1"/>
    <x v="1"/>
    <n v="13"/>
    <n v="220"/>
    <n v="2860"/>
    <x v="13"/>
    <x v="1"/>
  </r>
  <r>
    <n v="10166"/>
    <d v="2023-05-03T00:00:00"/>
    <x v="2"/>
    <x v="1"/>
    <x v="5"/>
    <x v="0"/>
    <n v="4"/>
    <n v="30"/>
    <n v="120"/>
    <x v="5"/>
    <x v="0"/>
  </r>
  <r>
    <n v="10167"/>
    <d v="2024-02-05T00:00:00"/>
    <x v="1"/>
    <x v="2"/>
    <x v="4"/>
    <x v="1"/>
    <n v="10"/>
    <n v="850"/>
    <n v="8500"/>
    <x v="12"/>
    <x v="1"/>
  </r>
  <r>
    <n v="10168"/>
    <d v="2023-10-21T00:00:00"/>
    <x v="4"/>
    <x v="0"/>
    <x v="5"/>
    <x v="0"/>
    <n v="8"/>
    <n v="30"/>
    <n v="240"/>
    <x v="14"/>
    <x v="0"/>
  </r>
  <r>
    <n v="10169"/>
    <d v="2023-10-07T00:00:00"/>
    <x v="4"/>
    <x v="4"/>
    <x v="1"/>
    <x v="1"/>
    <n v="1"/>
    <n v="220"/>
    <n v="220"/>
    <x v="14"/>
    <x v="0"/>
  </r>
  <r>
    <n v="10170"/>
    <d v="2023-07-17T00:00:00"/>
    <x v="3"/>
    <x v="1"/>
    <x v="2"/>
    <x v="0"/>
    <n v="10"/>
    <n v="180"/>
    <n v="1800"/>
    <x v="13"/>
    <x v="2"/>
  </r>
  <r>
    <n v="10171"/>
    <d v="2024-05-25T00:00:00"/>
    <x v="3"/>
    <x v="4"/>
    <x v="4"/>
    <x v="1"/>
    <n v="1"/>
    <n v="850"/>
    <n v="850"/>
    <x v="11"/>
    <x v="2"/>
  </r>
  <r>
    <n v="10172"/>
    <d v="2023-05-24T00:00:00"/>
    <x v="3"/>
    <x v="2"/>
    <x v="4"/>
    <x v="1"/>
    <n v="12"/>
    <n v="850"/>
    <n v="10200"/>
    <x v="5"/>
    <x v="1"/>
  </r>
  <r>
    <n v="10173"/>
    <d v="2023-07-20T00:00:00"/>
    <x v="2"/>
    <x v="4"/>
    <x v="3"/>
    <x v="0"/>
    <n v="4"/>
    <n v="45"/>
    <n v="180"/>
    <x v="13"/>
    <x v="0"/>
  </r>
  <r>
    <n v="10174"/>
    <d v="2023-05-04T00:00:00"/>
    <x v="4"/>
    <x v="3"/>
    <x v="3"/>
    <x v="0"/>
    <n v="8"/>
    <n v="45"/>
    <n v="360"/>
    <x v="5"/>
    <x v="0"/>
  </r>
  <r>
    <n v="10175"/>
    <d v="2023-07-06T00:00:00"/>
    <x v="2"/>
    <x v="1"/>
    <x v="2"/>
    <x v="0"/>
    <n v="5"/>
    <n v="180"/>
    <n v="900"/>
    <x v="13"/>
    <x v="2"/>
  </r>
  <r>
    <n v="10176"/>
    <d v="2023-11-22T00:00:00"/>
    <x v="1"/>
    <x v="4"/>
    <x v="0"/>
    <x v="0"/>
    <n v="2"/>
    <n v="75"/>
    <n v="150"/>
    <x v="8"/>
    <x v="0"/>
  </r>
  <r>
    <n v="10177"/>
    <d v="2024-04-08T00:00:00"/>
    <x v="3"/>
    <x v="2"/>
    <x v="4"/>
    <x v="1"/>
    <n v="6"/>
    <n v="850"/>
    <n v="5100"/>
    <x v="6"/>
    <x v="1"/>
  </r>
  <r>
    <n v="10178"/>
    <d v="2023-12-15T00:00:00"/>
    <x v="2"/>
    <x v="2"/>
    <x v="2"/>
    <x v="0"/>
    <n v="5"/>
    <n v="180"/>
    <n v="900"/>
    <x v="10"/>
    <x v="2"/>
  </r>
  <r>
    <n v="10179"/>
    <d v="2024-02-07T00:00:00"/>
    <x v="2"/>
    <x v="4"/>
    <x v="3"/>
    <x v="0"/>
    <n v="2"/>
    <n v="45"/>
    <n v="90"/>
    <x v="12"/>
    <x v="0"/>
  </r>
  <r>
    <n v="10180"/>
    <d v="2023-12-12T00:00:00"/>
    <x v="1"/>
    <x v="2"/>
    <x v="3"/>
    <x v="0"/>
    <n v="13"/>
    <n v="45"/>
    <n v="585"/>
    <x v="10"/>
    <x v="2"/>
  </r>
  <r>
    <n v="10181"/>
    <d v="2024-05-25T00:00:00"/>
    <x v="0"/>
    <x v="0"/>
    <x v="4"/>
    <x v="1"/>
    <n v="14"/>
    <n v="850"/>
    <n v="11900"/>
    <x v="11"/>
    <x v="1"/>
  </r>
  <r>
    <n v="10182"/>
    <d v="2023-05-27T00:00:00"/>
    <x v="4"/>
    <x v="0"/>
    <x v="5"/>
    <x v="0"/>
    <n v="11"/>
    <n v="30"/>
    <n v="330"/>
    <x v="5"/>
    <x v="0"/>
  </r>
  <r>
    <n v="10183"/>
    <d v="2023-05-28T00:00:00"/>
    <x v="0"/>
    <x v="0"/>
    <x v="1"/>
    <x v="1"/>
    <n v="11"/>
    <n v="220"/>
    <n v="2420"/>
    <x v="5"/>
    <x v="1"/>
  </r>
  <r>
    <n v="10184"/>
    <d v="2024-05-03T00:00:00"/>
    <x v="3"/>
    <x v="3"/>
    <x v="3"/>
    <x v="0"/>
    <n v="11"/>
    <n v="45"/>
    <n v="495"/>
    <x v="11"/>
    <x v="0"/>
  </r>
  <r>
    <n v="10185"/>
    <d v="2023-12-04T00:00:00"/>
    <x v="2"/>
    <x v="4"/>
    <x v="0"/>
    <x v="0"/>
    <n v="3"/>
    <n v="75"/>
    <n v="225"/>
    <x v="10"/>
    <x v="0"/>
  </r>
  <r>
    <n v="10186"/>
    <d v="2024-04-17T00:00:00"/>
    <x v="1"/>
    <x v="3"/>
    <x v="0"/>
    <x v="0"/>
    <n v="9"/>
    <n v="75"/>
    <n v="675"/>
    <x v="6"/>
    <x v="2"/>
  </r>
  <r>
    <n v="10187"/>
    <d v="2023-05-31T00:00:00"/>
    <x v="1"/>
    <x v="2"/>
    <x v="3"/>
    <x v="0"/>
    <n v="7"/>
    <n v="45"/>
    <n v="315"/>
    <x v="5"/>
    <x v="0"/>
  </r>
  <r>
    <n v="10188"/>
    <d v="2024-02-19T00:00:00"/>
    <x v="4"/>
    <x v="3"/>
    <x v="5"/>
    <x v="0"/>
    <n v="7"/>
    <n v="30"/>
    <n v="210"/>
    <x v="12"/>
    <x v="0"/>
  </r>
  <r>
    <n v="10189"/>
    <d v="2023-10-25T00:00:00"/>
    <x v="0"/>
    <x v="2"/>
    <x v="5"/>
    <x v="0"/>
    <n v="11"/>
    <n v="30"/>
    <n v="330"/>
    <x v="14"/>
    <x v="0"/>
  </r>
  <r>
    <n v="10190"/>
    <d v="2023-09-20T00:00:00"/>
    <x v="4"/>
    <x v="2"/>
    <x v="2"/>
    <x v="0"/>
    <n v="6"/>
    <n v="180"/>
    <n v="1080"/>
    <x v="2"/>
    <x v="2"/>
  </r>
  <r>
    <n v="10191"/>
    <d v="2023-05-24T00:00:00"/>
    <x v="2"/>
    <x v="1"/>
    <x v="0"/>
    <x v="0"/>
    <n v="8"/>
    <n v="75"/>
    <n v="600"/>
    <x v="5"/>
    <x v="2"/>
  </r>
  <r>
    <n v="10192"/>
    <d v="2023-12-12T00:00:00"/>
    <x v="4"/>
    <x v="0"/>
    <x v="2"/>
    <x v="0"/>
    <n v="4"/>
    <n v="180"/>
    <n v="720"/>
    <x v="10"/>
    <x v="2"/>
  </r>
  <r>
    <n v="10193"/>
    <d v="2023-01-02T00:00:00"/>
    <x v="1"/>
    <x v="2"/>
    <x v="0"/>
    <x v="0"/>
    <n v="8"/>
    <n v="75"/>
    <n v="600"/>
    <x v="4"/>
    <x v="2"/>
  </r>
  <r>
    <n v="10194"/>
    <d v="2023-10-31T00:00:00"/>
    <x v="1"/>
    <x v="1"/>
    <x v="1"/>
    <x v="1"/>
    <n v="4"/>
    <n v="220"/>
    <n v="880"/>
    <x v="14"/>
    <x v="2"/>
  </r>
  <r>
    <n v="10195"/>
    <d v="2023-09-11T00:00:00"/>
    <x v="3"/>
    <x v="0"/>
    <x v="1"/>
    <x v="1"/>
    <n v="8"/>
    <n v="220"/>
    <n v="1760"/>
    <x v="2"/>
    <x v="2"/>
  </r>
  <r>
    <n v="10196"/>
    <d v="2024-03-28T00:00:00"/>
    <x v="3"/>
    <x v="2"/>
    <x v="4"/>
    <x v="1"/>
    <n v="9"/>
    <n v="850"/>
    <n v="7650"/>
    <x v="1"/>
    <x v="1"/>
  </r>
  <r>
    <n v="10197"/>
    <d v="2023-02-06T00:00:00"/>
    <x v="2"/>
    <x v="2"/>
    <x v="2"/>
    <x v="0"/>
    <n v="3"/>
    <n v="180"/>
    <n v="540"/>
    <x v="16"/>
    <x v="2"/>
  </r>
  <r>
    <n v="10198"/>
    <d v="2023-06-09T00:00:00"/>
    <x v="0"/>
    <x v="3"/>
    <x v="3"/>
    <x v="0"/>
    <n v="3"/>
    <n v="45"/>
    <n v="135"/>
    <x v="15"/>
    <x v="0"/>
  </r>
  <r>
    <n v="10199"/>
    <d v="2023-01-09T00:00:00"/>
    <x v="4"/>
    <x v="3"/>
    <x v="2"/>
    <x v="0"/>
    <n v="11"/>
    <n v="180"/>
    <n v="1980"/>
    <x v="4"/>
    <x v="2"/>
  </r>
  <r>
    <n v="10200"/>
    <d v="2023-08-21T00:00:00"/>
    <x v="2"/>
    <x v="0"/>
    <x v="3"/>
    <x v="0"/>
    <n v="13"/>
    <n v="45"/>
    <n v="585"/>
    <x v="7"/>
    <x v="2"/>
  </r>
  <r>
    <n v="10201"/>
    <d v="2023-04-09T00:00:00"/>
    <x v="3"/>
    <x v="2"/>
    <x v="5"/>
    <x v="0"/>
    <n v="2"/>
    <n v="30"/>
    <n v="60"/>
    <x v="0"/>
    <x v="0"/>
  </r>
  <r>
    <n v="10202"/>
    <d v="2023-07-27T00:00:00"/>
    <x v="4"/>
    <x v="4"/>
    <x v="2"/>
    <x v="0"/>
    <n v="13"/>
    <n v="180"/>
    <n v="2340"/>
    <x v="13"/>
    <x v="1"/>
  </r>
  <r>
    <n v="10203"/>
    <d v="2023-05-11T00:00:00"/>
    <x v="3"/>
    <x v="3"/>
    <x v="5"/>
    <x v="0"/>
    <n v="10"/>
    <n v="30"/>
    <n v="300"/>
    <x v="5"/>
    <x v="0"/>
  </r>
  <r>
    <n v="10204"/>
    <d v="2024-02-08T00:00:00"/>
    <x v="4"/>
    <x v="0"/>
    <x v="1"/>
    <x v="1"/>
    <n v="3"/>
    <n v="220"/>
    <n v="660"/>
    <x v="12"/>
    <x v="2"/>
  </r>
  <r>
    <n v="10205"/>
    <d v="2023-06-01T00:00:00"/>
    <x v="0"/>
    <x v="2"/>
    <x v="1"/>
    <x v="1"/>
    <n v="3"/>
    <n v="220"/>
    <n v="660"/>
    <x v="15"/>
    <x v="2"/>
  </r>
  <r>
    <n v="10206"/>
    <d v="2023-02-23T00:00:00"/>
    <x v="2"/>
    <x v="2"/>
    <x v="4"/>
    <x v="1"/>
    <n v="5"/>
    <n v="850"/>
    <n v="4250"/>
    <x v="16"/>
    <x v="1"/>
  </r>
  <r>
    <n v="10207"/>
    <d v="2023-04-30T00:00:00"/>
    <x v="4"/>
    <x v="4"/>
    <x v="2"/>
    <x v="0"/>
    <n v="5"/>
    <n v="180"/>
    <n v="900"/>
    <x v="0"/>
    <x v="2"/>
  </r>
  <r>
    <n v="10208"/>
    <d v="2024-02-24T00:00:00"/>
    <x v="1"/>
    <x v="0"/>
    <x v="5"/>
    <x v="0"/>
    <n v="2"/>
    <n v="30"/>
    <n v="60"/>
    <x v="12"/>
    <x v="0"/>
  </r>
  <r>
    <n v="10209"/>
    <d v="2024-02-26T00:00:00"/>
    <x v="1"/>
    <x v="2"/>
    <x v="3"/>
    <x v="0"/>
    <n v="12"/>
    <n v="45"/>
    <n v="540"/>
    <x v="12"/>
    <x v="2"/>
  </r>
  <r>
    <n v="10210"/>
    <d v="2023-04-14T00:00:00"/>
    <x v="4"/>
    <x v="3"/>
    <x v="1"/>
    <x v="1"/>
    <n v="10"/>
    <n v="220"/>
    <n v="2200"/>
    <x v="0"/>
    <x v="1"/>
  </r>
  <r>
    <n v="10211"/>
    <d v="2023-09-11T00:00:00"/>
    <x v="4"/>
    <x v="4"/>
    <x v="1"/>
    <x v="1"/>
    <n v="13"/>
    <n v="220"/>
    <n v="2860"/>
    <x v="2"/>
    <x v="1"/>
  </r>
  <r>
    <n v="10212"/>
    <d v="2023-08-15T00:00:00"/>
    <x v="4"/>
    <x v="0"/>
    <x v="3"/>
    <x v="0"/>
    <n v="6"/>
    <n v="45"/>
    <n v="270"/>
    <x v="7"/>
    <x v="0"/>
  </r>
  <r>
    <n v="10213"/>
    <d v="2023-04-22T00:00:00"/>
    <x v="1"/>
    <x v="4"/>
    <x v="5"/>
    <x v="0"/>
    <n v="5"/>
    <n v="30"/>
    <n v="150"/>
    <x v="0"/>
    <x v="0"/>
  </r>
  <r>
    <n v="10214"/>
    <d v="2024-05-24T00:00:00"/>
    <x v="1"/>
    <x v="3"/>
    <x v="5"/>
    <x v="0"/>
    <n v="6"/>
    <n v="30"/>
    <n v="180"/>
    <x v="11"/>
    <x v="0"/>
  </r>
  <r>
    <n v="10215"/>
    <d v="2024-04-17T00:00:00"/>
    <x v="4"/>
    <x v="0"/>
    <x v="2"/>
    <x v="0"/>
    <n v="1"/>
    <n v="180"/>
    <n v="180"/>
    <x v="6"/>
    <x v="0"/>
  </r>
  <r>
    <n v="10216"/>
    <d v="2023-04-09T00:00:00"/>
    <x v="3"/>
    <x v="4"/>
    <x v="2"/>
    <x v="0"/>
    <n v="5"/>
    <n v="180"/>
    <n v="900"/>
    <x v="0"/>
    <x v="2"/>
  </r>
  <r>
    <n v="10217"/>
    <d v="2023-06-02T00:00:00"/>
    <x v="3"/>
    <x v="1"/>
    <x v="0"/>
    <x v="0"/>
    <n v="9"/>
    <n v="75"/>
    <n v="675"/>
    <x v="15"/>
    <x v="2"/>
  </r>
  <r>
    <n v="10218"/>
    <d v="2023-12-04T00:00:00"/>
    <x v="0"/>
    <x v="3"/>
    <x v="0"/>
    <x v="0"/>
    <n v="12"/>
    <n v="75"/>
    <n v="900"/>
    <x v="10"/>
    <x v="2"/>
  </r>
  <r>
    <n v="10219"/>
    <d v="2023-06-12T00:00:00"/>
    <x v="2"/>
    <x v="3"/>
    <x v="4"/>
    <x v="1"/>
    <n v="10"/>
    <n v="850"/>
    <n v="8500"/>
    <x v="15"/>
    <x v="1"/>
  </r>
  <r>
    <n v="10220"/>
    <d v="2023-06-10T00:00:00"/>
    <x v="3"/>
    <x v="3"/>
    <x v="1"/>
    <x v="1"/>
    <n v="14"/>
    <n v="220"/>
    <n v="3080"/>
    <x v="15"/>
    <x v="1"/>
  </r>
  <r>
    <n v="10221"/>
    <d v="2024-02-02T00:00:00"/>
    <x v="1"/>
    <x v="1"/>
    <x v="2"/>
    <x v="0"/>
    <n v="2"/>
    <n v="180"/>
    <n v="360"/>
    <x v="12"/>
    <x v="0"/>
  </r>
  <r>
    <n v="10222"/>
    <d v="2023-10-04T00:00:00"/>
    <x v="3"/>
    <x v="1"/>
    <x v="5"/>
    <x v="0"/>
    <n v="1"/>
    <n v="30"/>
    <n v="30"/>
    <x v="14"/>
    <x v="0"/>
  </r>
  <r>
    <n v="10223"/>
    <d v="2024-05-18T00:00:00"/>
    <x v="0"/>
    <x v="2"/>
    <x v="3"/>
    <x v="0"/>
    <n v="14"/>
    <n v="45"/>
    <n v="630"/>
    <x v="11"/>
    <x v="2"/>
  </r>
  <r>
    <n v="10224"/>
    <d v="2024-01-27T00:00:00"/>
    <x v="0"/>
    <x v="4"/>
    <x v="5"/>
    <x v="0"/>
    <n v="10"/>
    <n v="30"/>
    <n v="300"/>
    <x v="9"/>
    <x v="0"/>
  </r>
  <r>
    <n v="10225"/>
    <d v="2023-05-15T00:00:00"/>
    <x v="2"/>
    <x v="2"/>
    <x v="1"/>
    <x v="1"/>
    <n v="13"/>
    <n v="220"/>
    <n v="2860"/>
    <x v="5"/>
    <x v="1"/>
  </r>
  <r>
    <n v="10226"/>
    <d v="2023-07-14T00:00:00"/>
    <x v="3"/>
    <x v="4"/>
    <x v="0"/>
    <x v="0"/>
    <n v="11"/>
    <n v="75"/>
    <n v="825"/>
    <x v="13"/>
    <x v="2"/>
  </r>
  <r>
    <n v="10227"/>
    <d v="2024-02-05T00:00:00"/>
    <x v="1"/>
    <x v="1"/>
    <x v="5"/>
    <x v="0"/>
    <n v="9"/>
    <n v="30"/>
    <n v="270"/>
    <x v="12"/>
    <x v="0"/>
  </r>
  <r>
    <n v="10228"/>
    <d v="2023-02-02T00:00:00"/>
    <x v="1"/>
    <x v="1"/>
    <x v="4"/>
    <x v="1"/>
    <n v="10"/>
    <n v="850"/>
    <n v="8500"/>
    <x v="16"/>
    <x v="1"/>
  </r>
  <r>
    <n v="10229"/>
    <d v="2024-04-04T00:00:00"/>
    <x v="4"/>
    <x v="2"/>
    <x v="1"/>
    <x v="1"/>
    <n v="9"/>
    <n v="220"/>
    <n v="1980"/>
    <x v="6"/>
    <x v="2"/>
  </r>
  <r>
    <n v="10230"/>
    <d v="2024-04-14T00:00:00"/>
    <x v="1"/>
    <x v="0"/>
    <x v="0"/>
    <x v="0"/>
    <n v="9"/>
    <n v="75"/>
    <n v="675"/>
    <x v="6"/>
    <x v="2"/>
  </r>
  <r>
    <n v="10231"/>
    <d v="2024-01-10T00:00:00"/>
    <x v="2"/>
    <x v="2"/>
    <x v="3"/>
    <x v="0"/>
    <n v="6"/>
    <n v="45"/>
    <n v="270"/>
    <x v="9"/>
    <x v="0"/>
  </r>
  <r>
    <n v="10232"/>
    <d v="2023-01-22T00:00:00"/>
    <x v="2"/>
    <x v="4"/>
    <x v="0"/>
    <x v="0"/>
    <n v="8"/>
    <n v="75"/>
    <n v="600"/>
    <x v="4"/>
    <x v="2"/>
  </r>
  <r>
    <n v="10233"/>
    <d v="2023-02-07T00:00:00"/>
    <x v="1"/>
    <x v="2"/>
    <x v="4"/>
    <x v="1"/>
    <n v="14"/>
    <n v="850"/>
    <n v="11900"/>
    <x v="16"/>
    <x v="1"/>
  </r>
  <r>
    <n v="10234"/>
    <d v="2023-08-18T00:00:00"/>
    <x v="1"/>
    <x v="3"/>
    <x v="1"/>
    <x v="1"/>
    <n v="11"/>
    <n v="220"/>
    <n v="2420"/>
    <x v="7"/>
    <x v="1"/>
  </r>
  <r>
    <n v="10235"/>
    <d v="2023-12-31T00:00:00"/>
    <x v="4"/>
    <x v="4"/>
    <x v="3"/>
    <x v="0"/>
    <n v="13"/>
    <n v="45"/>
    <n v="585"/>
    <x v="10"/>
    <x v="2"/>
  </r>
  <r>
    <n v="10236"/>
    <d v="2024-03-13T00:00:00"/>
    <x v="1"/>
    <x v="4"/>
    <x v="4"/>
    <x v="1"/>
    <n v="1"/>
    <n v="850"/>
    <n v="850"/>
    <x v="1"/>
    <x v="2"/>
  </r>
  <r>
    <n v="10237"/>
    <d v="2023-10-10T00:00:00"/>
    <x v="4"/>
    <x v="0"/>
    <x v="0"/>
    <x v="0"/>
    <n v="10"/>
    <n v="75"/>
    <n v="750"/>
    <x v="14"/>
    <x v="2"/>
  </r>
  <r>
    <n v="10238"/>
    <d v="2023-01-27T00:00:00"/>
    <x v="4"/>
    <x v="1"/>
    <x v="4"/>
    <x v="1"/>
    <n v="4"/>
    <n v="850"/>
    <n v="3400"/>
    <x v="4"/>
    <x v="1"/>
  </r>
  <r>
    <n v="10239"/>
    <d v="2023-08-14T00:00:00"/>
    <x v="1"/>
    <x v="4"/>
    <x v="1"/>
    <x v="1"/>
    <n v="1"/>
    <n v="220"/>
    <n v="220"/>
    <x v="7"/>
    <x v="0"/>
  </r>
  <r>
    <n v="10240"/>
    <d v="2023-10-04T00:00:00"/>
    <x v="0"/>
    <x v="1"/>
    <x v="2"/>
    <x v="0"/>
    <n v="8"/>
    <n v="180"/>
    <n v="1440"/>
    <x v="14"/>
    <x v="2"/>
  </r>
  <r>
    <n v="10241"/>
    <d v="2023-10-11T00:00:00"/>
    <x v="0"/>
    <x v="2"/>
    <x v="4"/>
    <x v="1"/>
    <n v="1"/>
    <n v="850"/>
    <n v="850"/>
    <x v="14"/>
    <x v="2"/>
  </r>
  <r>
    <n v="10242"/>
    <d v="2024-04-25T00:00:00"/>
    <x v="4"/>
    <x v="3"/>
    <x v="4"/>
    <x v="1"/>
    <n v="3"/>
    <n v="850"/>
    <n v="2550"/>
    <x v="6"/>
    <x v="1"/>
  </r>
  <r>
    <n v="10243"/>
    <d v="2024-03-28T00:00:00"/>
    <x v="1"/>
    <x v="0"/>
    <x v="0"/>
    <x v="0"/>
    <n v="13"/>
    <n v="75"/>
    <n v="975"/>
    <x v="1"/>
    <x v="2"/>
  </r>
  <r>
    <n v="10244"/>
    <d v="2024-05-30T00:00:00"/>
    <x v="0"/>
    <x v="1"/>
    <x v="0"/>
    <x v="0"/>
    <n v="4"/>
    <n v="75"/>
    <n v="300"/>
    <x v="11"/>
    <x v="0"/>
  </r>
  <r>
    <n v="10245"/>
    <d v="2024-06-30T00:00:00"/>
    <x v="1"/>
    <x v="4"/>
    <x v="3"/>
    <x v="0"/>
    <n v="8"/>
    <n v="45"/>
    <n v="360"/>
    <x v="17"/>
    <x v="0"/>
  </r>
  <r>
    <n v="10246"/>
    <d v="2023-07-11T00:00:00"/>
    <x v="1"/>
    <x v="1"/>
    <x v="0"/>
    <x v="0"/>
    <n v="6"/>
    <n v="75"/>
    <n v="450"/>
    <x v="13"/>
    <x v="0"/>
  </r>
  <r>
    <n v="10247"/>
    <d v="2023-02-18T00:00:00"/>
    <x v="1"/>
    <x v="4"/>
    <x v="5"/>
    <x v="0"/>
    <n v="14"/>
    <n v="30"/>
    <n v="420"/>
    <x v="16"/>
    <x v="0"/>
  </r>
  <r>
    <n v="10248"/>
    <d v="2024-05-26T00:00:00"/>
    <x v="3"/>
    <x v="1"/>
    <x v="1"/>
    <x v="1"/>
    <n v="10"/>
    <n v="220"/>
    <n v="2200"/>
    <x v="11"/>
    <x v="1"/>
  </r>
  <r>
    <n v="10249"/>
    <d v="2023-01-17T00:00:00"/>
    <x v="1"/>
    <x v="4"/>
    <x v="1"/>
    <x v="1"/>
    <n v="12"/>
    <n v="220"/>
    <n v="2640"/>
    <x v="4"/>
    <x v="1"/>
  </r>
  <r>
    <n v="10250"/>
    <d v="2023-06-21T00:00:00"/>
    <x v="3"/>
    <x v="2"/>
    <x v="2"/>
    <x v="0"/>
    <n v="7"/>
    <n v="180"/>
    <n v="1260"/>
    <x v="15"/>
    <x v="2"/>
  </r>
  <r>
    <n v="10251"/>
    <d v="2023-08-08T00:00:00"/>
    <x v="4"/>
    <x v="4"/>
    <x v="2"/>
    <x v="0"/>
    <n v="14"/>
    <n v="180"/>
    <n v="2520"/>
    <x v="7"/>
    <x v="1"/>
  </r>
  <r>
    <n v="10252"/>
    <d v="2023-06-07T00:00:00"/>
    <x v="0"/>
    <x v="4"/>
    <x v="1"/>
    <x v="1"/>
    <n v="8"/>
    <n v="220"/>
    <n v="1760"/>
    <x v="15"/>
    <x v="2"/>
  </r>
  <r>
    <n v="10253"/>
    <d v="2024-04-21T00:00:00"/>
    <x v="0"/>
    <x v="3"/>
    <x v="2"/>
    <x v="0"/>
    <n v="2"/>
    <n v="180"/>
    <n v="360"/>
    <x v="6"/>
    <x v="0"/>
  </r>
  <r>
    <n v="10254"/>
    <d v="2023-02-15T00:00:00"/>
    <x v="0"/>
    <x v="4"/>
    <x v="3"/>
    <x v="0"/>
    <n v="13"/>
    <n v="45"/>
    <n v="585"/>
    <x v="16"/>
    <x v="2"/>
  </r>
  <r>
    <n v="10255"/>
    <d v="2024-01-08T00:00:00"/>
    <x v="0"/>
    <x v="3"/>
    <x v="0"/>
    <x v="0"/>
    <n v="10"/>
    <n v="75"/>
    <n v="750"/>
    <x v="9"/>
    <x v="2"/>
  </r>
  <r>
    <n v="10256"/>
    <d v="2024-06-01T00:00:00"/>
    <x v="0"/>
    <x v="0"/>
    <x v="1"/>
    <x v="1"/>
    <n v="14"/>
    <n v="220"/>
    <n v="3080"/>
    <x v="17"/>
    <x v="1"/>
  </r>
  <r>
    <n v="10257"/>
    <d v="2023-04-09T00:00:00"/>
    <x v="0"/>
    <x v="3"/>
    <x v="2"/>
    <x v="0"/>
    <n v="11"/>
    <n v="180"/>
    <n v="1980"/>
    <x v="0"/>
    <x v="2"/>
  </r>
  <r>
    <n v="10258"/>
    <d v="2023-02-06T00:00:00"/>
    <x v="0"/>
    <x v="2"/>
    <x v="1"/>
    <x v="1"/>
    <n v="8"/>
    <n v="220"/>
    <n v="1760"/>
    <x v="16"/>
    <x v="2"/>
  </r>
  <r>
    <n v="10259"/>
    <d v="2023-10-07T00:00:00"/>
    <x v="4"/>
    <x v="3"/>
    <x v="5"/>
    <x v="0"/>
    <n v="3"/>
    <n v="30"/>
    <n v="90"/>
    <x v="14"/>
    <x v="0"/>
  </r>
  <r>
    <n v="10260"/>
    <d v="2023-12-15T00:00:00"/>
    <x v="1"/>
    <x v="0"/>
    <x v="4"/>
    <x v="1"/>
    <n v="7"/>
    <n v="850"/>
    <n v="5950"/>
    <x v="10"/>
    <x v="1"/>
  </r>
  <r>
    <n v="10261"/>
    <d v="2024-05-11T00:00:00"/>
    <x v="2"/>
    <x v="2"/>
    <x v="0"/>
    <x v="0"/>
    <n v="3"/>
    <n v="75"/>
    <n v="225"/>
    <x v="11"/>
    <x v="0"/>
  </r>
  <r>
    <n v="10262"/>
    <d v="2023-10-29T00:00:00"/>
    <x v="3"/>
    <x v="1"/>
    <x v="1"/>
    <x v="1"/>
    <n v="7"/>
    <n v="220"/>
    <n v="1540"/>
    <x v="14"/>
    <x v="2"/>
  </r>
  <r>
    <n v="10263"/>
    <d v="2023-06-30T00:00:00"/>
    <x v="2"/>
    <x v="1"/>
    <x v="4"/>
    <x v="1"/>
    <n v="14"/>
    <n v="850"/>
    <n v="11900"/>
    <x v="15"/>
    <x v="1"/>
  </r>
  <r>
    <n v="10264"/>
    <d v="2023-04-09T00:00:00"/>
    <x v="2"/>
    <x v="3"/>
    <x v="2"/>
    <x v="0"/>
    <n v="11"/>
    <n v="180"/>
    <n v="1980"/>
    <x v="0"/>
    <x v="2"/>
  </r>
  <r>
    <n v="10265"/>
    <d v="2023-04-26T00:00:00"/>
    <x v="1"/>
    <x v="3"/>
    <x v="4"/>
    <x v="1"/>
    <n v="12"/>
    <n v="850"/>
    <n v="10200"/>
    <x v="0"/>
    <x v="1"/>
  </r>
  <r>
    <n v="10266"/>
    <d v="2023-07-10T00:00:00"/>
    <x v="1"/>
    <x v="0"/>
    <x v="0"/>
    <x v="0"/>
    <n v="13"/>
    <n v="75"/>
    <n v="975"/>
    <x v="13"/>
    <x v="2"/>
  </r>
  <r>
    <n v="10267"/>
    <d v="2023-09-10T00:00:00"/>
    <x v="1"/>
    <x v="0"/>
    <x v="1"/>
    <x v="1"/>
    <n v="2"/>
    <n v="220"/>
    <n v="440"/>
    <x v="2"/>
    <x v="0"/>
  </r>
  <r>
    <n v="10268"/>
    <d v="2023-06-10T00:00:00"/>
    <x v="0"/>
    <x v="4"/>
    <x v="5"/>
    <x v="0"/>
    <n v="10"/>
    <n v="30"/>
    <n v="300"/>
    <x v="15"/>
    <x v="0"/>
  </r>
  <r>
    <n v="10269"/>
    <d v="2023-09-13T00:00:00"/>
    <x v="4"/>
    <x v="0"/>
    <x v="2"/>
    <x v="0"/>
    <n v="6"/>
    <n v="180"/>
    <n v="1080"/>
    <x v="2"/>
    <x v="2"/>
  </r>
  <r>
    <n v="10270"/>
    <d v="2023-11-19T00:00:00"/>
    <x v="0"/>
    <x v="4"/>
    <x v="1"/>
    <x v="1"/>
    <n v="3"/>
    <n v="220"/>
    <n v="660"/>
    <x v="8"/>
    <x v="2"/>
  </r>
  <r>
    <n v="10271"/>
    <d v="2023-05-08T00:00:00"/>
    <x v="4"/>
    <x v="2"/>
    <x v="0"/>
    <x v="0"/>
    <n v="3"/>
    <n v="75"/>
    <n v="225"/>
    <x v="5"/>
    <x v="0"/>
  </r>
  <r>
    <n v="10272"/>
    <d v="2023-01-18T00:00:00"/>
    <x v="4"/>
    <x v="3"/>
    <x v="2"/>
    <x v="0"/>
    <n v="9"/>
    <n v="180"/>
    <n v="1620"/>
    <x v="4"/>
    <x v="2"/>
  </r>
  <r>
    <n v="10273"/>
    <d v="2023-11-19T00:00:00"/>
    <x v="2"/>
    <x v="2"/>
    <x v="3"/>
    <x v="0"/>
    <n v="7"/>
    <n v="45"/>
    <n v="315"/>
    <x v="8"/>
    <x v="0"/>
  </r>
  <r>
    <n v="10274"/>
    <d v="2023-10-15T00:00:00"/>
    <x v="2"/>
    <x v="0"/>
    <x v="4"/>
    <x v="1"/>
    <n v="5"/>
    <n v="850"/>
    <n v="4250"/>
    <x v="14"/>
    <x v="1"/>
  </r>
  <r>
    <n v="10275"/>
    <d v="2023-06-04T00:00:00"/>
    <x v="4"/>
    <x v="2"/>
    <x v="0"/>
    <x v="0"/>
    <n v="12"/>
    <n v="75"/>
    <n v="900"/>
    <x v="15"/>
    <x v="2"/>
  </r>
  <r>
    <n v="10276"/>
    <d v="2024-05-04T00:00:00"/>
    <x v="4"/>
    <x v="2"/>
    <x v="3"/>
    <x v="0"/>
    <n v="10"/>
    <n v="45"/>
    <n v="450"/>
    <x v="11"/>
    <x v="0"/>
  </r>
  <r>
    <n v="10277"/>
    <d v="2024-01-21T00:00:00"/>
    <x v="0"/>
    <x v="2"/>
    <x v="1"/>
    <x v="1"/>
    <n v="7"/>
    <n v="220"/>
    <n v="1540"/>
    <x v="9"/>
    <x v="2"/>
  </r>
  <r>
    <n v="10278"/>
    <d v="2023-04-14T00:00:00"/>
    <x v="0"/>
    <x v="0"/>
    <x v="5"/>
    <x v="0"/>
    <n v="9"/>
    <n v="30"/>
    <n v="270"/>
    <x v="0"/>
    <x v="0"/>
  </r>
  <r>
    <n v="10279"/>
    <d v="2024-01-28T00:00:00"/>
    <x v="2"/>
    <x v="2"/>
    <x v="2"/>
    <x v="0"/>
    <n v="1"/>
    <n v="180"/>
    <n v="180"/>
    <x v="9"/>
    <x v="0"/>
  </r>
  <r>
    <n v="10280"/>
    <d v="2023-09-03T00:00:00"/>
    <x v="1"/>
    <x v="4"/>
    <x v="4"/>
    <x v="1"/>
    <n v="7"/>
    <n v="850"/>
    <n v="5950"/>
    <x v="2"/>
    <x v="1"/>
  </r>
  <r>
    <n v="10281"/>
    <d v="2023-06-25T00:00:00"/>
    <x v="4"/>
    <x v="0"/>
    <x v="2"/>
    <x v="0"/>
    <n v="6"/>
    <n v="180"/>
    <n v="1080"/>
    <x v="15"/>
    <x v="2"/>
  </r>
  <r>
    <n v="10282"/>
    <d v="2023-02-08T00:00:00"/>
    <x v="0"/>
    <x v="2"/>
    <x v="1"/>
    <x v="1"/>
    <n v="10"/>
    <n v="220"/>
    <n v="2200"/>
    <x v="16"/>
    <x v="1"/>
  </r>
  <r>
    <n v="10283"/>
    <d v="2024-04-21T00:00:00"/>
    <x v="2"/>
    <x v="0"/>
    <x v="2"/>
    <x v="0"/>
    <n v="14"/>
    <n v="180"/>
    <n v="2520"/>
    <x v="6"/>
    <x v="1"/>
  </r>
  <r>
    <n v="10284"/>
    <d v="2024-06-21T00:00:00"/>
    <x v="0"/>
    <x v="1"/>
    <x v="4"/>
    <x v="1"/>
    <n v="12"/>
    <n v="850"/>
    <n v="10200"/>
    <x v="17"/>
    <x v="1"/>
  </r>
  <r>
    <n v="10285"/>
    <d v="2024-02-12T00:00:00"/>
    <x v="4"/>
    <x v="4"/>
    <x v="1"/>
    <x v="1"/>
    <n v="9"/>
    <n v="220"/>
    <n v="1980"/>
    <x v="12"/>
    <x v="2"/>
  </r>
  <r>
    <n v="10286"/>
    <d v="2024-06-08T00:00:00"/>
    <x v="4"/>
    <x v="2"/>
    <x v="2"/>
    <x v="0"/>
    <n v="1"/>
    <n v="180"/>
    <n v="180"/>
    <x v="17"/>
    <x v="0"/>
  </r>
  <r>
    <n v="10287"/>
    <d v="2024-05-20T00:00:00"/>
    <x v="3"/>
    <x v="1"/>
    <x v="5"/>
    <x v="0"/>
    <n v="13"/>
    <n v="30"/>
    <n v="390"/>
    <x v="11"/>
    <x v="0"/>
  </r>
  <r>
    <n v="10288"/>
    <d v="2023-02-05T00:00:00"/>
    <x v="1"/>
    <x v="1"/>
    <x v="0"/>
    <x v="0"/>
    <n v="4"/>
    <n v="75"/>
    <n v="300"/>
    <x v="16"/>
    <x v="0"/>
  </r>
  <r>
    <n v="10289"/>
    <d v="2023-01-20T00:00:00"/>
    <x v="3"/>
    <x v="0"/>
    <x v="1"/>
    <x v="1"/>
    <n v="9"/>
    <n v="220"/>
    <n v="1980"/>
    <x v="4"/>
    <x v="2"/>
  </r>
  <r>
    <n v="10290"/>
    <d v="2023-11-17T00:00:00"/>
    <x v="2"/>
    <x v="1"/>
    <x v="0"/>
    <x v="0"/>
    <n v="4"/>
    <n v="75"/>
    <n v="300"/>
    <x v="8"/>
    <x v="0"/>
  </r>
  <r>
    <n v="10291"/>
    <d v="2024-05-26T00:00:00"/>
    <x v="0"/>
    <x v="4"/>
    <x v="1"/>
    <x v="1"/>
    <n v="10"/>
    <n v="220"/>
    <n v="2200"/>
    <x v="11"/>
    <x v="1"/>
  </r>
  <r>
    <n v="10292"/>
    <d v="2024-02-04T00:00:00"/>
    <x v="2"/>
    <x v="4"/>
    <x v="5"/>
    <x v="0"/>
    <n v="3"/>
    <n v="30"/>
    <n v="90"/>
    <x v="12"/>
    <x v="0"/>
  </r>
  <r>
    <n v="10293"/>
    <d v="2024-04-15T00:00:00"/>
    <x v="4"/>
    <x v="3"/>
    <x v="0"/>
    <x v="0"/>
    <n v="9"/>
    <n v="75"/>
    <n v="675"/>
    <x v="6"/>
    <x v="2"/>
  </r>
  <r>
    <n v="10294"/>
    <d v="2023-05-23T00:00:00"/>
    <x v="3"/>
    <x v="4"/>
    <x v="3"/>
    <x v="0"/>
    <n v="13"/>
    <n v="45"/>
    <n v="585"/>
    <x v="5"/>
    <x v="2"/>
  </r>
  <r>
    <n v="10295"/>
    <d v="2023-04-02T00:00:00"/>
    <x v="3"/>
    <x v="1"/>
    <x v="4"/>
    <x v="1"/>
    <n v="2"/>
    <n v="850"/>
    <n v="1700"/>
    <x v="0"/>
    <x v="2"/>
  </r>
  <r>
    <n v="10296"/>
    <d v="2023-12-20T00:00:00"/>
    <x v="3"/>
    <x v="4"/>
    <x v="3"/>
    <x v="0"/>
    <n v="4"/>
    <n v="45"/>
    <n v="180"/>
    <x v="10"/>
    <x v="0"/>
  </r>
  <r>
    <n v="10297"/>
    <d v="2023-02-20T00:00:00"/>
    <x v="2"/>
    <x v="0"/>
    <x v="2"/>
    <x v="0"/>
    <n v="6"/>
    <n v="180"/>
    <n v="1080"/>
    <x v="16"/>
    <x v="2"/>
  </r>
  <r>
    <n v="10298"/>
    <d v="2023-07-09T00:00:00"/>
    <x v="4"/>
    <x v="3"/>
    <x v="5"/>
    <x v="0"/>
    <n v="2"/>
    <n v="30"/>
    <n v="60"/>
    <x v="13"/>
    <x v="0"/>
  </r>
  <r>
    <n v="10299"/>
    <d v="2023-05-05T00:00:00"/>
    <x v="0"/>
    <x v="1"/>
    <x v="3"/>
    <x v="0"/>
    <n v="8"/>
    <n v="45"/>
    <n v="360"/>
    <x v="5"/>
    <x v="0"/>
  </r>
  <r>
    <n v="10300"/>
    <d v="2023-05-30T00:00:00"/>
    <x v="0"/>
    <x v="3"/>
    <x v="1"/>
    <x v="1"/>
    <n v="8"/>
    <n v="220"/>
    <n v="1760"/>
    <x v="5"/>
    <x v="2"/>
  </r>
  <r>
    <n v="10301"/>
    <d v="2023-11-10T00:00:00"/>
    <x v="2"/>
    <x v="1"/>
    <x v="2"/>
    <x v="0"/>
    <n v="1"/>
    <n v="180"/>
    <n v="180"/>
    <x v="8"/>
    <x v="0"/>
  </r>
  <r>
    <n v="10302"/>
    <d v="2023-12-08T00:00:00"/>
    <x v="3"/>
    <x v="0"/>
    <x v="2"/>
    <x v="0"/>
    <n v="12"/>
    <n v="180"/>
    <n v="2160"/>
    <x v="10"/>
    <x v="1"/>
  </r>
  <r>
    <n v="10303"/>
    <d v="2023-11-01T00:00:00"/>
    <x v="1"/>
    <x v="3"/>
    <x v="3"/>
    <x v="0"/>
    <n v="3"/>
    <n v="45"/>
    <n v="135"/>
    <x v="8"/>
    <x v="0"/>
  </r>
  <r>
    <n v="10304"/>
    <d v="2023-02-23T00:00:00"/>
    <x v="2"/>
    <x v="2"/>
    <x v="3"/>
    <x v="0"/>
    <n v="10"/>
    <n v="45"/>
    <n v="450"/>
    <x v="16"/>
    <x v="0"/>
  </r>
  <r>
    <n v="10305"/>
    <d v="2024-03-19T00:00:00"/>
    <x v="2"/>
    <x v="1"/>
    <x v="5"/>
    <x v="0"/>
    <n v="9"/>
    <n v="30"/>
    <n v="270"/>
    <x v="1"/>
    <x v="0"/>
  </r>
  <r>
    <n v="10306"/>
    <d v="2023-09-21T00:00:00"/>
    <x v="4"/>
    <x v="2"/>
    <x v="4"/>
    <x v="1"/>
    <n v="5"/>
    <n v="850"/>
    <n v="4250"/>
    <x v="2"/>
    <x v="1"/>
  </r>
  <r>
    <n v="10307"/>
    <d v="2023-02-22T00:00:00"/>
    <x v="0"/>
    <x v="3"/>
    <x v="3"/>
    <x v="0"/>
    <n v="6"/>
    <n v="45"/>
    <n v="270"/>
    <x v="16"/>
    <x v="0"/>
  </r>
  <r>
    <n v="10308"/>
    <d v="2023-01-05T00:00:00"/>
    <x v="2"/>
    <x v="2"/>
    <x v="3"/>
    <x v="0"/>
    <n v="4"/>
    <n v="45"/>
    <n v="180"/>
    <x v="4"/>
    <x v="0"/>
  </r>
  <r>
    <n v="10309"/>
    <d v="2023-04-13T00:00:00"/>
    <x v="2"/>
    <x v="2"/>
    <x v="0"/>
    <x v="0"/>
    <n v="10"/>
    <n v="75"/>
    <n v="750"/>
    <x v="0"/>
    <x v="2"/>
  </r>
  <r>
    <n v="10310"/>
    <d v="2023-07-15T00:00:00"/>
    <x v="3"/>
    <x v="3"/>
    <x v="1"/>
    <x v="1"/>
    <n v="2"/>
    <n v="220"/>
    <n v="440"/>
    <x v="13"/>
    <x v="0"/>
  </r>
  <r>
    <n v="10311"/>
    <d v="2023-12-16T00:00:00"/>
    <x v="3"/>
    <x v="0"/>
    <x v="0"/>
    <x v="0"/>
    <n v="11"/>
    <n v="75"/>
    <n v="825"/>
    <x v="10"/>
    <x v="2"/>
  </r>
  <r>
    <n v="10312"/>
    <d v="2023-02-16T00:00:00"/>
    <x v="1"/>
    <x v="2"/>
    <x v="0"/>
    <x v="0"/>
    <n v="8"/>
    <n v="75"/>
    <n v="600"/>
    <x v="16"/>
    <x v="2"/>
  </r>
  <r>
    <n v="10313"/>
    <d v="2023-09-26T00:00:00"/>
    <x v="4"/>
    <x v="2"/>
    <x v="2"/>
    <x v="0"/>
    <n v="11"/>
    <n v="180"/>
    <n v="1980"/>
    <x v="2"/>
    <x v="2"/>
  </r>
  <r>
    <n v="10314"/>
    <d v="2024-01-05T00:00:00"/>
    <x v="1"/>
    <x v="0"/>
    <x v="4"/>
    <x v="1"/>
    <n v="13"/>
    <n v="850"/>
    <n v="11050"/>
    <x v="9"/>
    <x v="1"/>
  </r>
  <r>
    <n v="10315"/>
    <d v="2023-04-16T00:00:00"/>
    <x v="3"/>
    <x v="2"/>
    <x v="1"/>
    <x v="1"/>
    <n v="6"/>
    <n v="220"/>
    <n v="1320"/>
    <x v="0"/>
    <x v="2"/>
  </r>
  <r>
    <n v="10316"/>
    <d v="2023-04-30T00:00:00"/>
    <x v="0"/>
    <x v="2"/>
    <x v="5"/>
    <x v="0"/>
    <n v="5"/>
    <n v="30"/>
    <n v="150"/>
    <x v="0"/>
    <x v="0"/>
  </r>
  <r>
    <n v="10317"/>
    <d v="2023-02-27T00:00:00"/>
    <x v="3"/>
    <x v="2"/>
    <x v="5"/>
    <x v="0"/>
    <n v="9"/>
    <n v="30"/>
    <n v="270"/>
    <x v="16"/>
    <x v="0"/>
  </r>
  <r>
    <n v="10318"/>
    <d v="2023-12-12T00:00:00"/>
    <x v="4"/>
    <x v="4"/>
    <x v="3"/>
    <x v="0"/>
    <n v="1"/>
    <n v="45"/>
    <n v="45"/>
    <x v="10"/>
    <x v="0"/>
  </r>
  <r>
    <n v="10319"/>
    <d v="2024-04-18T00:00:00"/>
    <x v="3"/>
    <x v="0"/>
    <x v="3"/>
    <x v="0"/>
    <n v="5"/>
    <n v="45"/>
    <n v="225"/>
    <x v="6"/>
    <x v="0"/>
  </r>
  <r>
    <n v="10320"/>
    <d v="2023-04-27T00:00:00"/>
    <x v="4"/>
    <x v="2"/>
    <x v="5"/>
    <x v="0"/>
    <n v="6"/>
    <n v="30"/>
    <n v="180"/>
    <x v="0"/>
    <x v="0"/>
  </r>
  <r>
    <n v="10321"/>
    <d v="2023-05-07T00:00:00"/>
    <x v="4"/>
    <x v="0"/>
    <x v="3"/>
    <x v="0"/>
    <n v="5"/>
    <n v="45"/>
    <n v="225"/>
    <x v="5"/>
    <x v="0"/>
  </r>
  <r>
    <n v="10322"/>
    <d v="2024-01-28T00:00:00"/>
    <x v="4"/>
    <x v="1"/>
    <x v="4"/>
    <x v="1"/>
    <n v="6"/>
    <n v="850"/>
    <n v="5100"/>
    <x v="9"/>
    <x v="1"/>
  </r>
  <r>
    <n v="10323"/>
    <d v="2023-02-27T00:00:00"/>
    <x v="4"/>
    <x v="1"/>
    <x v="0"/>
    <x v="0"/>
    <n v="6"/>
    <n v="75"/>
    <n v="450"/>
    <x v="16"/>
    <x v="0"/>
  </r>
  <r>
    <n v="10324"/>
    <d v="2024-05-27T00:00:00"/>
    <x v="4"/>
    <x v="2"/>
    <x v="3"/>
    <x v="0"/>
    <n v="7"/>
    <n v="45"/>
    <n v="315"/>
    <x v="11"/>
    <x v="0"/>
  </r>
  <r>
    <n v="10325"/>
    <d v="2023-04-06T00:00:00"/>
    <x v="0"/>
    <x v="0"/>
    <x v="2"/>
    <x v="0"/>
    <n v="4"/>
    <n v="180"/>
    <n v="720"/>
    <x v="0"/>
    <x v="2"/>
  </r>
  <r>
    <n v="10326"/>
    <d v="2023-04-28T00:00:00"/>
    <x v="1"/>
    <x v="0"/>
    <x v="3"/>
    <x v="0"/>
    <n v="14"/>
    <n v="45"/>
    <n v="630"/>
    <x v="0"/>
    <x v="2"/>
  </r>
  <r>
    <n v="10327"/>
    <d v="2024-05-02T00:00:00"/>
    <x v="2"/>
    <x v="0"/>
    <x v="1"/>
    <x v="1"/>
    <n v="11"/>
    <n v="220"/>
    <n v="2420"/>
    <x v="11"/>
    <x v="1"/>
  </r>
  <r>
    <n v="10328"/>
    <d v="2023-08-25T00:00:00"/>
    <x v="1"/>
    <x v="4"/>
    <x v="4"/>
    <x v="1"/>
    <n v="14"/>
    <n v="850"/>
    <n v="11900"/>
    <x v="7"/>
    <x v="1"/>
  </r>
  <r>
    <n v="10329"/>
    <d v="2023-09-29T00:00:00"/>
    <x v="4"/>
    <x v="1"/>
    <x v="1"/>
    <x v="1"/>
    <n v="14"/>
    <n v="220"/>
    <n v="3080"/>
    <x v="2"/>
    <x v="1"/>
  </r>
  <r>
    <n v="10330"/>
    <d v="2023-07-08T00:00:00"/>
    <x v="0"/>
    <x v="0"/>
    <x v="1"/>
    <x v="1"/>
    <n v="14"/>
    <n v="220"/>
    <n v="3080"/>
    <x v="13"/>
    <x v="1"/>
  </r>
  <r>
    <n v="10331"/>
    <d v="2024-03-22T00:00:00"/>
    <x v="3"/>
    <x v="0"/>
    <x v="2"/>
    <x v="0"/>
    <n v="8"/>
    <n v="180"/>
    <n v="1440"/>
    <x v="1"/>
    <x v="2"/>
  </r>
  <r>
    <n v="10332"/>
    <d v="2023-09-04T00:00:00"/>
    <x v="0"/>
    <x v="4"/>
    <x v="4"/>
    <x v="1"/>
    <n v="7"/>
    <n v="850"/>
    <n v="5950"/>
    <x v="2"/>
    <x v="1"/>
  </r>
  <r>
    <n v="10333"/>
    <d v="2023-03-17T00:00:00"/>
    <x v="4"/>
    <x v="4"/>
    <x v="4"/>
    <x v="1"/>
    <n v="9"/>
    <n v="850"/>
    <n v="7650"/>
    <x v="3"/>
    <x v="1"/>
  </r>
  <r>
    <n v="10334"/>
    <d v="2023-06-03T00:00:00"/>
    <x v="0"/>
    <x v="0"/>
    <x v="4"/>
    <x v="1"/>
    <n v="7"/>
    <n v="850"/>
    <n v="5950"/>
    <x v="15"/>
    <x v="1"/>
  </r>
  <r>
    <n v="10335"/>
    <d v="2024-03-10T00:00:00"/>
    <x v="0"/>
    <x v="3"/>
    <x v="4"/>
    <x v="1"/>
    <n v="3"/>
    <n v="850"/>
    <n v="2550"/>
    <x v="1"/>
    <x v="1"/>
  </r>
  <r>
    <n v="10336"/>
    <d v="2023-03-27T00:00:00"/>
    <x v="4"/>
    <x v="0"/>
    <x v="4"/>
    <x v="1"/>
    <n v="3"/>
    <n v="850"/>
    <n v="2550"/>
    <x v="3"/>
    <x v="1"/>
  </r>
  <r>
    <n v="10337"/>
    <d v="2023-10-12T00:00:00"/>
    <x v="0"/>
    <x v="0"/>
    <x v="2"/>
    <x v="0"/>
    <n v="8"/>
    <n v="180"/>
    <n v="1440"/>
    <x v="14"/>
    <x v="2"/>
  </r>
  <r>
    <n v="10338"/>
    <d v="2023-08-08T00:00:00"/>
    <x v="2"/>
    <x v="4"/>
    <x v="3"/>
    <x v="0"/>
    <n v="5"/>
    <n v="45"/>
    <n v="225"/>
    <x v="7"/>
    <x v="0"/>
  </r>
  <r>
    <n v="10339"/>
    <d v="2023-03-10T00:00:00"/>
    <x v="2"/>
    <x v="4"/>
    <x v="1"/>
    <x v="1"/>
    <n v="4"/>
    <n v="220"/>
    <n v="880"/>
    <x v="3"/>
    <x v="2"/>
  </r>
  <r>
    <n v="10340"/>
    <d v="2023-02-16T00:00:00"/>
    <x v="0"/>
    <x v="0"/>
    <x v="4"/>
    <x v="1"/>
    <n v="8"/>
    <n v="850"/>
    <n v="6800"/>
    <x v="16"/>
    <x v="1"/>
  </r>
  <r>
    <n v="10341"/>
    <d v="2023-04-04T00:00:00"/>
    <x v="3"/>
    <x v="0"/>
    <x v="3"/>
    <x v="0"/>
    <n v="6"/>
    <n v="45"/>
    <n v="270"/>
    <x v="0"/>
    <x v="0"/>
  </r>
  <r>
    <n v="10342"/>
    <d v="2024-03-28T00:00:00"/>
    <x v="4"/>
    <x v="0"/>
    <x v="3"/>
    <x v="0"/>
    <n v="2"/>
    <n v="45"/>
    <n v="90"/>
    <x v="1"/>
    <x v="0"/>
  </r>
  <r>
    <n v="10343"/>
    <d v="2023-07-23T00:00:00"/>
    <x v="2"/>
    <x v="4"/>
    <x v="1"/>
    <x v="1"/>
    <n v="4"/>
    <n v="220"/>
    <n v="880"/>
    <x v="13"/>
    <x v="2"/>
  </r>
  <r>
    <n v="10344"/>
    <d v="2023-08-06T00:00:00"/>
    <x v="3"/>
    <x v="0"/>
    <x v="2"/>
    <x v="0"/>
    <n v="12"/>
    <n v="180"/>
    <n v="2160"/>
    <x v="7"/>
    <x v="1"/>
  </r>
  <r>
    <n v="10345"/>
    <d v="2024-04-18T00:00:00"/>
    <x v="0"/>
    <x v="0"/>
    <x v="5"/>
    <x v="0"/>
    <n v="11"/>
    <n v="30"/>
    <n v="330"/>
    <x v="6"/>
    <x v="0"/>
  </r>
  <r>
    <n v="10346"/>
    <d v="2024-03-07T00:00:00"/>
    <x v="3"/>
    <x v="2"/>
    <x v="5"/>
    <x v="0"/>
    <n v="4"/>
    <n v="30"/>
    <n v="120"/>
    <x v="1"/>
    <x v="0"/>
  </r>
  <r>
    <n v="10347"/>
    <d v="2023-12-07T00:00:00"/>
    <x v="1"/>
    <x v="3"/>
    <x v="3"/>
    <x v="0"/>
    <n v="6"/>
    <n v="45"/>
    <n v="270"/>
    <x v="10"/>
    <x v="0"/>
  </r>
  <r>
    <n v="10348"/>
    <d v="2023-10-16T00:00:00"/>
    <x v="2"/>
    <x v="1"/>
    <x v="0"/>
    <x v="0"/>
    <n v="6"/>
    <n v="75"/>
    <n v="450"/>
    <x v="14"/>
    <x v="0"/>
  </r>
  <r>
    <n v="10349"/>
    <d v="2023-09-11T00:00:00"/>
    <x v="0"/>
    <x v="3"/>
    <x v="0"/>
    <x v="0"/>
    <n v="1"/>
    <n v="75"/>
    <n v="75"/>
    <x v="2"/>
    <x v="0"/>
  </r>
  <r>
    <n v="10350"/>
    <d v="2023-12-23T00:00:00"/>
    <x v="4"/>
    <x v="2"/>
    <x v="1"/>
    <x v="1"/>
    <n v="14"/>
    <n v="220"/>
    <n v="3080"/>
    <x v="10"/>
    <x v="1"/>
  </r>
  <r>
    <n v="10351"/>
    <d v="2023-01-23T00:00:00"/>
    <x v="0"/>
    <x v="1"/>
    <x v="5"/>
    <x v="0"/>
    <n v="8"/>
    <n v="30"/>
    <n v="240"/>
    <x v="4"/>
    <x v="0"/>
  </r>
  <r>
    <n v="10352"/>
    <d v="2024-06-05T00:00:00"/>
    <x v="4"/>
    <x v="0"/>
    <x v="3"/>
    <x v="0"/>
    <n v="6"/>
    <n v="45"/>
    <n v="270"/>
    <x v="17"/>
    <x v="0"/>
  </r>
  <r>
    <n v="10353"/>
    <d v="2023-04-10T00:00:00"/>
    <x v="0"/>
    <x v="2"/>
    <x v="2"/>
    <x v="0"/>
    <n v="3"/>
    <n v="180"/>
    <n v="540"/>
    <x v="0"/>
    <x v="2"/>
  </r>
  <r>
    <n v="10354"/>
    <d v="2023-06-29T00:00:00"/>
    <x v="3"/>
    <x v="0"/>
    <x v="5"/>
    <x v="0"/>
    <n v="14"/>
    <n v="30"/>
    <n v="420"/>
    <x v="15"/>
    <x v="0"/>
  </r>
  <r>
    <n v="10355"/>
    <d v="2023-08-11T00:00:00"/>
    <x v="3"/>
    <x v="4"/>
    <x v="3"/>
    <x v="0"/>
    <n v="9"/>
    <n v="45"/>
    <n v="405"/>
    <x v="7"/>
    <x v="0"/>
  </r>
  <r>
    <n v="10356"/>
    <d v="2024-03-17T00:00:00"/>
    <x v="3"/>
    <x v="2"/>
    <x v="3"/>
    <x v="0"/>
    <n v="2"/>
    <n v="45"/>
    <n v="90"/>
    <x v="1"/>
    <x v="0"/>
  </r>
  <r>
    <n v="10357"/>
    <d v="2023-11-21T00:00:00"/>
    <x v="1"/>
    <x v="4"/>
    <x v="4"/>
    <x v="1"/>
    <n v="11"/>
    <n v="850"/>
    <n v="9350"/>
    <x v="8"/>
    <x v="1"/>
  </r>
  <r>
    <n v="10358"/>
    <d v="2024-05-30T00:00:00"/>
    <x v="4"/>
    <x v="2"/>
    <x v="2"/>
    <x v="0"/>
    <n v="8"/>
    <n v="180"/>
    <n v="1440"/>
    <x v="11"/>
    <x v="2"/>
  </r>
  <r>
    <n v="10359"/>
    <d v="2023-01-16T00:00:00"/>
    <x v="3"/>
    <x v="2"/>
    <x v="4"/>
    <x v="1"/>
    <n v="10"/>
    <n v="850"/>
    <n v="8500"/>
    <x v="4"/>
    <x v="1"/>
  </r>
  <r>
    <n v="10360"/>
    <d v="2023-12-02T00:00:00"/>
    <x v="1"/>
    <x v="4"/>
    <x v="1"/>
    <x v="1"/>
    <n v="3"/>
    <n v="220"/>
    <n v="660"/>
    <x v="10"/>
    <x v="2"/>
  </r>
  <r>
    <n v="10361"/>
    <d v="2023-09-15T00:00:00"/>
    <x v="4"/>
    <x v="1"/>
    <x v="4"/>
    <x v="1"/>
    <n v="13"/>
    <n v="850"/>
    <n v="11050"/>
    <x v="2"/>
    <x v="1"/>
  </r>
  <r>
    <n v="10362"/>
    <d v="2024-05-11T00:00:00"/>
    <x v="0"/>
    <x v="3"/>
    <x v="4"/>
    <x v="1"/>
    <n v="12"/>
    <n v="850"/>
    <n v="10200"/>
    <x v="11"/>
    <x v="1"/>
  </r>
  <r>
    <n v="10363"/>
    <d v="2023-06-09T00:00:00"/>
    <x v="1"/>
    <x v="0"/>
    <x v="5"/>
    <x v="0"/>
    <n v="5"/>
    <n v="30"/>
    <n v="150"/>
    <x v="15"/>
    <x v="0"/>
  </r>
  <r>
    <n v="10364"/>
    <d v="2024-04-19T00:00:00"/>
    <x v="2"/>
    <x v="2"/>
    <x v="0"/>
    <x v="0"/>
    <n v="6"/>
    <n v="75"/>
    <n v="450"/>
    <x v="6"/>
    <x v="0"/>
  </r>
  <r>
    <n v="10365"/>
    <d v="2024-01-15T00:00:00"/>
    <x v="1"/>
    <x v="0"/>
    <x v="3"/>
    <x v="0"/>
    <n v="10"/>
    <n v="45"/>
    <n v="450"/>
    <x v="9"/>
    <x v="0"/>
  </r>
  <r>
    <n v="10366"/>
    <d v="2024-06-28T00:00:00"/>
    <x v="1"/>
    <x v="4"/>
    <x v="2"/>
    <x v="0"/>
    <n v="6"/>
    <n v="180"/>
    <n v="1080"/>
    <x v="17"/>
    <x v="2"/>
  </r>
  <r>
    <n v="10367"/>
    <d v="2024-03-02T00:00:00"/>
    <x v="4"/>
    <x v="0"/>
    <x v="4"/>
    <x v="1"/>
    <n v="4"/>
    <n v="850"/>
    <n v="3400"/>
    <x v="1"/>
    <x v="1"/>
  </r>
  <r>
    <n v="10368"/>
    <d v="2023-09-25T00:00:00"/>
    <x v="0"/>
    <x v="4"/>
    <x v="2"/>
    <x v="0"/>
    <n v="3"/>
    <n v="180"/>
    <n v="540"/>
    <x v="2"/>
    <x v="2"/>
  </r>
  <r>
    <n v="10369"/>
    <d v="2024-02-21T00:00:00"/>
    <x v="2"/>
    <x v="0"/>
    <x v="0"/>
    <x v="0"/>
    <n v="4"/>
    <n v="75"/>
    <n v="300"/>
    <x v="12"/>
    <x v="0"/>
  </r>
  <r>
    <n v="10370"/>
    <d v="2023-06-17T00:00:00"/>
    <x v="3"/>
    <x v="3"/>
    <x v="0"/>
    <x v="0"/>
    <n v="1"/>
    <n v="75"/>
    <n v="75"/>
    <x v="15"/>
    <x v="0"/>
  </r>
  <r>
    <n v="10371"/>
    <d v="2023-02-12T00:00:00"/>
    <x v="3"/>
    <x v="3"/>
    <x v="4"/>
    <x v="1"/>
    <n v="4"/>
    <n v="850"/>
    <n v="3400"/>
    <x v="16"/>
    <x v="1"/>
  </r>
  <r>
    <n v="10372"/>
    <d v="2023-10-12T00:00:00"/>
    <x v="1"/>
    <x v="3"/>
    <x v="1"/>
    <x v="1"/>
    <n v="1"/>
    <n v="220"/>
    <n v="220"/>
    <x v="14"/>
    <x v="0"/>
  </r>
  <r>
    <n v="10373"/>
    <d v="2024-02-01T00:00:00"/>
    <x v="4"/>
    <x v="3"/>
    <x v="4"/>
    <x v="1"/>
    <n v="12"/>
    <n v="850"/>
    <n v="10200"/>
    <x v="12"/>
    <x v="1"/>
  </r>
  <r>
    <n v="10374"/>
    <d v="2023-01-12T00:00:00"/>
    <x v="4"/>
    <x v="3"/>
    <x v="5"/>
    <x v="0"/>
    <n v="1"/>
    <n v="30"/>
    <n v="30"/>
    <x v="4"/>
    <x v="0"/>
  </r>
  <r>
    <n v="10375"/>
    <d v="2023-10-29T00:00:00"/>
    <x v="3"/>
    <x v="3"/>
    <x v="3"/>
    <x v="0"/>
    <n v="10"/>
    <n v="45"/>
    <n v="450"/>
    <x v="14"/>
    <x v="0"/>
  </r>
  <r>
    <n v="10376"/>
    <d v="2023-09-10T00:00:00"/>
    <x v="2"/>
    <x v="4"/>
    <x v="1"/>
    <x v="1"/>
    <n v="14"/>
    <n v="220"/>
    <n v="3080"/>
    <x v="2"/>
    <x v="1"/>
  </r>
  <r>
    <n v="10377"/>
    <d v="2024-05-13T00:00:00"/>
    <x v="0"/>
    <x v="2"/>
    <x v="4"/>
    <x v="1"/>
    <n v="6"/>
    <n v="850"/>
    <n v="5100"/>
    <x v="11"/>
    <x v="1"/>
  </r>
  <r>
    <n v="10378"/>
    <d v="2023-02-04T00:00:00"/>
    <x v="2"/>
    <x v="0"/>
    <x v="2"/>
    <x v="0"/>
    <n v="5"/>
    <n v="180"/>
    <n v="900"/>
    <x v="16"/>
    <x v="2"/>
  </r>
  <r>
    <n v="10379"/>
    <d v="2023-03-31T00:00:00"/>
    <x v="0"/>
    <x v="3"/>
    <x v="1"/>
    <x v="1"/>
    <n v="14"/>
    <n v="220"/>
    <n v="3080"/>
    <x v="3"/>
    <x v="1"/>
  </r>
  <r>
    <n v="10380"/>
    <d v="2024-02-22T00:00:00"/>
    <x v="3"/>
    <x v="4"/>
    <x v="1"/>
    <x v="1"/>
    <n v="11"/>
    <n v="220"/>
    <n v="2420"/>
    <x v="12"/>
    <x v="1"/>
  </r>
  <r>
    <n v="10381"/>
    <d v="2023-04-25T00:00:00"/>
    <x v="0"/>
    <x v="4"/>
    <x v="4"/>
    <x v="1"/>
    <n v="4"/>
    <n v="850"/>
    <n v="3400"/>
    <x v="0"/>
    <x v="1"/>
  </r>
  <r>
    <n v="10382"/>
    <d v="2023-07-15T00:00:00"/>
    <x v="4"/>
    <x v="4"/>
    <x v="1"/>
    <x v="1"/>
    <n v="13"/>
    <n v="220"/>
    <n v="2860"/>
    <x v="13"/>
    <x v="1"/>
  </r>
  <r>
    <n v="10383"/>
    <d v="2024-05-15T00:00:00"/>
    <x v="1"/>
    <x v="2"/>
    <x v="2"/>
    <x v="0"/>
    <n v="11"/>
    <n v="180"/>
    <n v="1980"/>
    <x v="11"/>
    <x v="2"/>
  </r>
  <r>
    <n v="10384"/>
    <d v="2024-05-07T00:00:00"/>
    <x v="1"/>
    <x v="0"/>
    <x v="0"/>
    <x v="0"/>
    <n v="3"/>
    <n v="75"/>
    <n v="225"/>
    <x v="11"/>
    <x v="0"/>
  </r>
  <r>
    <n v="10385"/>
    <d v="2023-03-16T00:00:00"/>
    <x v="3"/>
    <x v="2"/>
    <x v="1"/>
    <x v="1"/>
    <n v="1"/>
    <n v="220"/>
    <n v="220"/>
    <x v="3"/>
    <x v="0"/>
  </r>
  <r>
    <n v="10386"/>
    <d v="2024-02-17T00:00:00"/>
    <x v="4"/>
    <x v="1"/>
    <x v="0"/>
    <x v="0"/>
    <n v="6"/>
    <n v="75"/>
    <n v="450"/>
    <x v="12"/>
    <x v="0"/>
  </r>
  <r>
    <n v="10387"/>
    <d v="2024-01-11T00:00:00"/>
    <x v="2"/>
    <x v="4"/>
    <x v="2"/>
    <x v="0"/>
    <n v="2"/>
    <n v="180"/>
    <n v="360"/>
    <x v="9"/>
    <x v="0"/>
  </r>
  <r>
    <n v="10388"/>
    <d v="2024-02-24T00:00:00"/>
    <x v="4"/>
    <x v="1"/>
    <x v="4"/>
    <x v="1"/>
    <n v="8"/>
    <n v="850"/>
    <n v="6800"/>
    <x v="12"/>
    <x v="1"/>
  </r>
  <r>
    <n v="10389"/>
    <d v="2023-10-04T00:00:00"/>
    <x v="1"/>
    <x v="3"/>
    <x v="3"/>
    <x v="0"/>
    <n v="10"/>
    <n v="45"/>
    <n v="450"/>
    <x v="14"/>
    <x v="0"/>
  </r>
  <r>
    <n v="10390"/>
    <d v="2024-01-29T00:00:00"/>
    <x v="1"/>
    <x v="3"/>
    <x v="1"/>
    <x v="1"/>
    <n v="5"/>
    <n v="220"/>
    <n v="1100"/>
    <x v="9"/>
    <x v="2"/>
  </r>
  <r>
    <n v="10391"/>
    <d v="2024-04-01T00:00:00"/>
    <x v="4"/>
    <x v="2"/>
    <x v="3"/>
    <x v="0"/>
    <n v="7"/>
    <n v="45"/>
    <n v="315"/>
    <x v="6"/>
    <x v="0"/>
  </r>
  <r>
    <n v="10392"/>
    <d v="2023-07-11T00:00:00"/>
    <x v="4"/>
    <x v="0"/>
    <x v="2"/>
    <x v="0"/>
    <n v="10"/>
    <n v="180"/>
    <n v="1800"/>
    <x v="13"/>
    <x v="2"/>
  </r>
  <r>
    <n v="10393"/>
    <d v="2023-04-09T00:00:00"/>
    <x v="1"/>
    <x v="1"/>
    <x v="1"/>
    <x v="1"/>
    <n v="12"/>
    <n v="220"/>
    <n v="2640"/>
    <x v="0"/>
    <x v="1"/>
  </r>
  <r>
    <n v="10394"/>
    <d v="2023-04-06T00:00:00"/>
    <x v="2"/>
    <x v="0"/>
    <x v="0"/>
    <x v="0"/>
    <n v="2"/>
    <n v="75"/>
    <n v="150"/>
    <x v="0"/>
    <x v="0"/>
  </r>
  <r>
    <n v="10395"/>
    <d v="2023-07-09T00:00:00"/>
    <x v="3"/>
    <x v="2"/>
    <x v="5"/>
    <x v="0"/>
    <n v="13"/>
    <n v="30"/>
    <n v="390"/>
    <x v="13"/>
    <x v="0"/>
  </r>
  <r>
    <n v="10396"/>
    <d v="2023-02-06T00:00:00"/>
    <x v="3"/>
    <x v="3"/>
    <x v="3"/>
    <x v="0"/>
    <n v="8"/>
    <n v="45"/>
    <n v="360"/>
    <x v="16"/>
    <x v="0"/>
  </r>
  <r>
    <n v="10397"/>
    <d v="2024-01-04T00:00:00"/>
    <x v="4"/>
    <x v="0"/>
    <x v="1"/>
    <x v="1"/>
    <n v="2"/>
    <n v="220"/>
    <n v="440"/>
    <x v="9"/>
    <x v="0"/>
  </r>
  <r>
    <n v="10398"/>
    <d v="2024-06-08T00:00:00"/>
    <x v="3"/>
    <x v="0"/>
    <x v="3"/>
    <x v="0"/>
    <n v="4"/>
    <n v="45"/>
    <n v="180"/>
    <x v="17"/>
    <x v="0"/>
  </r>
  <r>
    <n v="10399"/>
    <d v="2023-10-06T00:00:00"/>
    <x v="1"/>
    <x v="3"/>
    <x v="1"/>
    <x v="1"/>
    <n v="1"/>
    <n v="220"/>
    <n v="220"/>
    <x v="14"/>
    <x v="0"/>
  </r>
  <r>
    <n v="10400"/>
    <d v="2023-08-05T00:00:00"/>
    <x v="1"/>
    <x v="1"/>
    <x v="4"/>
    <x v="1"/>
    <n v="5"/>
    <n v="850"/>
    <n v="4250"/>
    <x v="7"/>
    <x v="1"/>
  </r>
  <r>
    <n v="10401"/>
    <d v="2023-09-30T00:00:00"/>
    <x v="4"/>
    <x v="3"/>
    <x v="0"/>
    <x v="0"/>
    <n v="9"/>
    <n v="75"/>
    <n v="675"/>
    <x v="2"/>
    <x v="2"/>
  </r>
  <r>
    <n v="10402"/>
    <d v="2023-03-03T00:00:00"/>
    <x v="4"/>
    <x v="0"/>
    <x v="3"/>
    <x v="0"/>
    <n v="1"/>
    <n v="45"/>
    <n v="45"/>
    <x v="3"/>
    <x v="0"/>
  </r>
  <r>
    <n v="10403"/>
    <d v="2023-12-08T00:00:00"/>
    <x v="4"/>
    <x v="1"/>
    <x v="5"/>
    <x v="0"/>
    <n v="9"/>
    <n v="30"/>
    <n v="270"/>
    <x v="10"/>
    <x v="0"/>
  </r>
  <r>
    <n v="10404"/>
    <d v="2024-02-01T00:00:00"/>
    <x v="2"/>
    <x v="1"/>
    <x v="5"/>
    <x v="0"/>
    <n v="11"/>
    <n v="30"/>
    <n v="330"/>
    <x v="12"/>
    <x v="0"/>
  </r>
  <r>
    <n v="10405"/>
    <d v="2023-01-19T00:00:00"/>
    <x v="3"/>
    <x v="3"/>
    <x v="2"/>
    <x v="0"/>
    <n v="8"/>
    <n v="180"/>
    <n v="1440"/>
    <x v="4"/>
    <x v="2"/>
  </r>
  <r>
    <n v="10406"/>
    <d v="2023-06-26T00:00:00"/>
    <x v="4"/>
    <x v="0"/>
    <x v="1"/>
    <x v="1"/>
    <n v="6"/>
    <n v="220"/>
    <n v="1320"/>
    <x v="15"/>
    <x v="2"/>
  </r>
  <r>
    <n v="10407"/>
    <d v="2024-01-31T00:00:00"/>
    <x v="0"/>
    <x v="2"/>
    <x v="3"/>
    <x v="0"/>
    <n v="7"/>
    <n v="45"/>
    <n v="315"/>
    <x v="9"/>
    <x v="0"/>
  </r>
  <r>
    <n v="10408"/>
    <d v="2024-03-20T00:00:00"/>
    <x v="0"/>
    <x v="0"/>
    <x v="2"/>
    <x v="0"/>
    <n v="3"/>
    <n v="180"/>
    <n v="540"/>
    <x v="1"/>
    <x v="2"/>
  </r>
  <r>
    <n v="10409"/>
    <d v="2023-08-21T00:00:00"/>
    <x v="1"/>
    <x v="4"/>
    <x v="3"/>
    <x v="0"/>
    <n v="14"/>
    <n v="45"/>
    <n v="630"/>
    <x v="7"/>
    <x v="2"/>
  </r>
  <r>
    <n v="10410"/>
    <d v="2023-03-17T00:00:00"/>
    <x v="3"/>
    <x v="2"/>
    <x v="1"/>
    <x v="1"/>
    <n v="1"/>
    <n v="220"/>
    <n v="220"/>
    <x v="3"/>
    <x v="0"/>
  </r>
  <r>
    <n v="10411"/>
    <d v="2023-09-22T00:00:00"/>
    <x v="4"/>
    <x v="1"/>
    <x v="5"/>
    <x v="0"/>
    <n v="5"/>
    <n v="30"/>
    <n v="150"/>
    <x v="2"/>
    <x v="0"/>
  </r>
  <r>
    <n v="10412"/>
    <d v="2024-03-30T00:00:00"/>
    <x v="0"/>
    <x v="2"/>
    <x v="4"/>
    <x v="1"/>
    <n v="14"/>
    <n v="850"/>
    <n v="11900"/>
    <x v="1"/>
    <x v="1"/>
  </r>
  <r>
    <n v="10413"/>
    <d v="2024-01-19T00:00:00"/>
    <x v="3"/>
    <x v="1"/>
    <x v="5"/>
    <x v="0"/>
    <n v="12"/>
    <n v="30"/>
    <n v="360"/>
    <x v="9"/>
    <x v="0"/>
  </r>
  <r>
    <n v="10414"/>
    <d v="2024-05-20T00:00:00"/>
    <x v="1"/>
    <x v="1"/>
    <x v="2"/>
    <x v="0"/>
    <n v="12"/>
    <n v="180"/>
    <n v="2160"/>
    <x v="11"/>
    <x v="1"/>
  </r>
  <r>
    <n v="10415"/>
    <d v="2024-01-02T00:00:00"/>
    <x v="2"/>
    <x v="2"/>
    <x v="0"/>
    <x v="0"/>
    <n v="2"/>
    <n v="75"/>
    <n v="150"/>
    <x v="9"/>
    <x v="0"/>
  </r>
  <r>
    <n v="10416"/>
    <d v="2023-05-24T00:00:00"/>
    <x v="3"/>
    <x v="1"/>
    <x v="4"/>
    <x v="1"/>
    <n v="14"/>
    <n v="850"/>
    <n v="11900"/>
    <x v="5"/>
    <x v="1"/>
  </r>
  <r>
    <n v="10417"/>
    <d v="2023-03-10T00:00:00"/>
    <x v="3"/>
    <x v="1"/>
    <x v="2"/>
    <x v="0"/>
    <n v="5"/>
    <n v="180"/>
    <n v="900"/>
    <x v="3"/>
    <x v="2"/>
  </r>
  <r>
    <n v="10418"/>
    <d v="2023-04-09T00:00:00"/>
    <x v="2"/>
    <x v="4"/>
    <x v="1"/>
    <x v="1"/>
    <n v="8"/>
    <n v="220"/>
    <n v="1760"/>
    <x v="0"/>
    <x v="2"/>
  </r>
  <r>
    <n v="10419"/>
    <d v="2024-01-31T00:00:00"/>
    <x v="3"/>
    <x v="0"/>
    <x v="4"/>
    <x v="1"/>
    <n v="11"/>
    <n v="850"/>
    <n v="9350"/>
    <x v="9"/>
    <x v="1"/>
  </r>
  <r>
    <n v="10420"/>
    <d v="2023-01-25T00:00:00"/>
    <x v="1"/>
    <x v="0"/>
    <x v="2"/>
    <x v="0"/>
    <n v="9"/>
    <n v="180"/>
    <n v="1620"/>
    <x v="4"/>
    <x v="2"/>
  </r>
  <r>
    <n v="10421"/>
    <d v="2024-04-13T00:00:00"/>
    <x v="1"/>
    <x v="4"/>
    <x v="1"/>
    <x v="1"/>
    <n v="2"/>
    <n v="220"/>
    <n v="440"/>
    <x v="6"/>
    <x v="0"/>
  </r>
  <r>
    <n v="10422"/>
    <d v="2024-04-28T00:00:00"/>
    <x v="2"/>
    <x v="2"/>
    <x v="5"/>
    <x v="0"/>
    <n v="12"/>
    <n v="30"/>
    <n v="360"/>
    <x v="6"/>
    <x v="0"/>
  </r>
  <r>
    <n v="10423"/>
    <d v="2023-05-31T00:00:00"/>
    <x v="4"/>
    <x v="3"/>
    <x v="0"/>
    <x v="0"/>
    <n v="3"/>
    <n v="75"/>
    <n v="225"/>
    <x v="5"/>
    <x v="0"/>
  </r>
  <r>
    <n v="10424"/>
    <d v="2023-05-24T00:00:00"/>
    <x v="0"/>
    <x v="3"/>
    <x v="1"/>
    <x v="1"/>
    <n v="3"/>
    <n v="220"/>
    <n v="660"/>
    <x v="5"/>
    <x v="2"/>
  </r>
  <r>
    <n v="10425"/>
    <d v="2023-02-08T00:00:00"/>
    <x v="4"/>
    <x v="3"/>
    <x v="3"/>
    <x v="0"/>
    <n v="1"/>
    <n v="45"/>
    <n v="45"/>
    <x v="16"/>
    <x v="0"/>
  </r>
  <r>
    <n v="10426"/>
    <d v="2023-04-19T00:00:00"/>
    <x v="3"/>
    <x v="4"/>
    <x v="1"/>
    <x v="1"/>
    <n v="8"/>
    <n v="220"/>
    <n v="1760"/>
    <x v="0"/>
    <x v="2"/>
  </r>
  <r>
    <n v="10427"/>
    <d v="2023-02-11T00:00:00"/>
    <x v="0"/>
    <x v="4"/>
    <x v="1"/>
    <x v="1"/>
    <n v="6"/>
    <n v="220"/>
    <n v="1320"/>
    <x v="16"/>
    <x v="2"/>
  </r>
  <r>
    <n v="10428"/>
    <d v="2023-07-05T00:00:00"/>
    <x v="2"/>
    <x v="1"/>
    <x v="0"/>
    <x v="0"/>
    <n v="12"/>
    <n v="75"/>
    <n v="900"/>
    <x v="13"/>
    <x v="2"/>
  </r>
  <r>
    <n v="10429"/>
    <d v="2024-02-02T00:00:00"/>
    <x v="2"/>
    <x v="3"/>
    <x v="3"/>
    <x v="0"/>
    <n v="13"/>
    <n v="45"/>
    <n v="585"/>
    <x v="12"/>
    <x v="2"/>
  </r>
  <r>
    <n v="10430"/>
    <d v="2023-08-11T00:00:00"/>
    <x v="0"/>
    <x v="2"/>
    <x v="2"/>
    <x v="0"/>
    <n v="8"/>
    <n v="180"/>
    <n v="1440"/>
    <x v="7"/>
    <x v="2"/>
  </r>
  <r>
    <n v="10431"/>
    <d v="2023-05-13T00:00:00"/>
    <x v="1"/>
    <x v="2"/>
    <x v="2"/>
    <x v="0"/>
    <n v="11"/>
    <n v="180"/>
    <n v="1980"/>
    <x v="5"/>
    <x v="2"/>
  </r>
  <r>
    <n v="10432"/>
    <d v="2023-06-12T00:00:00"/>
    <x v="0"/>
    <x v="3"/>
    <x v="1"/>
    <x v="1"/>
    <n v="9"/>
    <n v="220"/>
    <n v="1980"/>
    <x v="15"/>
    <x v="2"/>
  </r>
  <r>
    <n v="10433"/>
    <d v="2023-08-03T00:00:00"/>
    <x v="3"/>
    <x v="3"/>
    <x v="3"/>
    <x v="0"/>
    <n v="5"/>
    <n v="45"/>
    <n v="225"/>
    <x v="7"/>
    <x v="0"/>
  </r>
  <r>
    <n v="10434"/>
    <d v="2023-08-23T00:00:00"/>
    <x v="1"/>
    <x v="3"/>
    <x v="3"/>
    <x v="0"/>
    <n v="14"/>
    <n v="45"/>
    <n v="630"/>
    <x v="7"/>
    <x v="2"/>
  </r>
  <r>
    <n v="10435"/>
    <d v="2023-01-09T00:00:00"/>
    <x v="2"/>
    <x v="4"/>
    <x v="0"/>
    <x v="0"/>
    <n v="12"/>
    <n v="75"/>
    <n v="900"/>
    <x v="4"/>
    <x v="2"/>
  </r>
  <r>
    <n v="10436"/>
    <d v="2023-03-15T00:00:00"/>
    <x v="0"/>
    <x v="4"/>
    <x v="5"/>
    <x v="0"/>
    <n v="14"/>
    <n v="30"/>
    <n v="420"/>
    <x v="3"/>
    <x v="0"/>
  </r>
  <r>
    <n v="10437"/>
    <d v="2024-05-06T00:00:00"/>
    <x v="4"/>
    <x v="4"/>
    <x v="2"/>
    <x v="0"/>
    <n v="3"/>
    <n v="180"/>
    <n v="540"/>
    <x v="11"/>
    <x v="2"/>
  </r>
  <r>
    <n v="10438"/>
    <d v="2023-09-10T00:00:00"/>
    <x v="4"/>
    <x v="0"/>
    <x v="0"/>
    <x v="0"/>
    <n v="5"/>
    <n v="75"/>
    <n v="375"/>
    <x v="2"/>
    <x v="0"/>
  </r>
  <r>
    <n v="10439"/>
    <d v="2023-08-18T00:00:00"/>
    <x v="3"/>
    <x v="2"/>
    <x v="4"/>
    <x v="1"/>
    <n v="5"/>
    <n v="850"/>
    <n v="4250"/>
    <x v="7"/>
    <x v="1"/>
  </r>
  <r>
    <n v="10440"/>
    <d v="2024-06-02T00:00:00"/>
    <x v="4"/>
    <x v="2"/>
    <x v="2"/>
    <x v="0"/>
    <n v="5"/>
    <n v="180"/>
    <n v="900"/>
    <x v="17"/>
    <x v="2"/>
  </r>
  <r>
    <n v="10441"/>
    <d v="2023-06-23T00:00:00"/>
    <x v="0"/>
    <x v="1"/>
    <x v="0"/>
    <x v="0"/>
    <n v="3"/>
    <n v="75"/>
    <n v="225"/>
    <x v="15"/>
    <x v="0"/>
  </r>
  <r>
    <n v="10442"/>
    <d v="2023-06-17T00:00:00"/>
    <x v="0"/>
    <x v="4"/>
    <x v="2"/>
    <x v="0"/>
    <n v="11"/>
    <n v="180"/>
    <n v="1980"/>
    <x v="15"/>
    <x v="2"/>
  </r>
  <r>
    <n v="10443"/>
    <d v="2023-06-19T00:00:00"/>
    <x v="4"/>
    <x v="0"/>
    <x v="5"/>
    <x v="0"/>
    <n v="14"/>
    <n v="30"/>
    <n v="420"/>
    <x v="15"/>
    <x v="0"/>
  </r>
  <r>
    <n v="10444"/>
    <d v="2024-01-28T00:00:00"/>
    <x v="0"/>
    <x v="0"/>
    <x v="4"/>
    <x v="1"/>
    <n v="10"/>
    <n v="850"/>
    <n v="8500"/>
    <x v="9"/>
    <x v="1"/>
  </r>
  <r>
    <n v="10445"/>
    <d v="2023-07-13T00:00:00"/>
    <x v="3"/>
    <x v="2"/>
    <x v="5"/>
    <x v="0"/>
    <n v="14"/>
    <n v="30"/>
    <n v="420"/>
    <x v="13"/>
    <x v="0"/>
  </r>
  <r>
    <n v="10446"/>
    <d v="2024-05-31T00:00:00"/>
    <x v="1"/>
    <x v="4"/>
    <x v="4"/>
    <x v="1"/>
    <n v="4"/>
    <n v="850"/>
    <n v="3400"/>
    <x v="11"/>
    <x v="1"/>
  </r>
  <r>
    <n v="10447"/>
    <d v="2023-01-29T00:00:00"/>
    <x v="3"/>
    <x v="1"/>
    <x v="1"/>
    <x v="1"/>
    <n v="9"/>
    <n v="220"/>
    <n v="1980"/>
    <x v="4"/>
    <x v="2"/>
  </r>
  <r>
    <n v="10448"/>
    <d v="2023-06-14T00:00:00"/>
    <x v="3"/>
    <x v="4"/>
    <x v="0"/>
    <x v="0"/>
    <n v="13"/>
    <n v="75"/>
    <n v="975"/>
    <x v="15"/>
    <x v="2"/>
  </r>
  <r>
    <n v="10449"/>
    <d v="2024-02-26T00:00:00"/>
    <x v="0"/>
    <x v="3"/>
    <x v="4"/>
    <x v="1"/>
    <n v="10"/>
    <n v="850"/>
    <n v="8500"/>
    <x v="12"/>
    <x v="1"/>
  </r>
  <r>
    <n v="10450"/>
    <d v="2023-12-05T00:00:00"/>
    <x v="1"/>
    <x v="4"/>
    <x v="5"/>
    <x v="0"/>
    <n v="9"/>
    <n v="30"/>
    <n v="270"/>
    <x v="10"/>
    <x v="0"/>
  </r>
  <r>
    <n v="10451"/>
    <d v="2024-05-10T00:00:00"/>
    <x v="0"/>
    <x v="3"/>
    <x v="2"/>
    <x v="0"/>
    <n v="2"/>
    <n v="180"/>
    <n v="360"/>
    <x v="11"/>
    <x v="0"/>
  </r>
  <r>
    <n v="10452"/>
    <d v="2023-12-31T00:00:00"/>
    <x v="2"/>
    <x v="3"/>
    <x v="4"/>
    <x v="1"/>
    <n v="8"/>
    <n v="850"/>
    <n v="6800"/>
    <x v="10"/>
    <x v="1"/>
  </r>
  <r>
    <n v="10453"/>
    <d v="2023-12-08T00:00:00"/>
    <x v="0"/>
    <x v="1"/>
    <x v="0"/>
    <x v="0"/>
    <n v="8"/>
    <n v="75"/>
    <n v="600"/>
    <x v="10"/>
    <x v="2"/>
  </r>
  <r>
    <n v="10454"/>
    <d v="2024-05-14T00:00:00"/>
    <x v="0"/>
    <x v="2"/>
    <x v="4"/>
    <x v="1"/>
    <n v="7"/>
    <n v="850"/>
    <n v="5950"/>
    <x v="11"/>
    <x v="1"/>
  </r>
  <r>
    <n v="10455"/>
    <d v="2024-05-25T00:00:00"/>
    <x v="0"/>
    <x v="4"/>
    <x v="3"/>
    <x v="0"/>
    <n v="8"/>
    <n v="45"/>
    <n v="360"/>
    <x v="11"/>
    <x v="0"/>
  </r>
  <r>
    <n v="10456"/>
    <d v="2023-11-23T00:00:00"/>
    <x v="1"/>
    <x v="3"/>
    <x v="2"/>
    <x v="0"/>
    <n v="14"/>
    <n v="180"/>
    <n v="2520"/>
    <x v="8"/>
    <x v="1"/>
  </r>
  <r>
    <n v="10457"/>
    <d v="2023-08-05T00:00:00"/>
    <x v="0"/>
    <x v="4"/>
    <x v="0"/>
    <x v="0"/>
    <n v="3"/>
    <n v="75"/>
    <n v="225"/>
    <x v="7"/>
    <x v="0"/>
  </r>
  <r>
    <n v="10458"/>
    <d v="2023-10-28T00:00:00"/>
    <x v="1"/>
    <x v="2"/>
    <x v="0"/>
    <x v="0"/>
    <n v="13"/>
    <n v="75"/>
    <n v="975"/>
    <x v="14"/>
    <x v="2"/>
  </r>
  <r>
    <n v="10459"/>
    <d v="2023-05-12T00:00:00"/>
    <x v="4"/>
    <x v="2"/>
    <x v="1"/>
    <x v="1"/>
    <n v="6"/>
    <n v="220"/>
    <n v="1320"/>
    <x v="5"/>
    <x v="2"/>
  </r>
  <r>
    <n v="10460"/>
    <d v="2023-03-11T00:00:00"/>
    <x v="2"/>
    <x v="0"/>
    <x v="5"/>
    <x v="0"/>
    <n v="1"/>
    <n v="30"/>
    <n v="30"/>
    <x v="3"/>
    <x v="0"/>
  </r>
  <r>
    <n v="10461"/>
    <d v="2023-09-09T00:00:00"/>
    <x v="1"/>
    <x v="2"/>
    <x v="1"/>
    <x v="1"/>
    <n v="7"/>
    <n v="220"/>
    <n v="1540"/>
    <x v="2"/>
    <x v="2"/>
  </r>
  <r>
    <n v="10462"/>
    <d v="2024-02-19T00:00:00"/>
    <x v="4"/>
    <x v="1"/>
    <x v="0"/>
    <x v="0"/>
    <n v="1"/>
    <n v="75"/>
    <n v="75"/>
    <x v="12"/>
    <x v="0"/>
  </r>
  <r>
    <n v="10463"/>
    <d v="2024-03-20T00:00:00"/>
    <x v="1"/>
    <x v="3"/>
    <x v="2"/>
    <x v="0"/>
    <n v="9"/>
    <n v="180"/>
    <n v="1620"/>
    <x v="1"/>
    <x v="2"/>
  </r>
  <r>
    <n v="10464"/>
    <d v="2023-07-01T00:00:00"/>
    <x v="1"/>
    <x v="0"/>
    <x v="4"/>
    <x v="1"/>
    <n v="1"/>
    <n v="850"/>
    <n v="850"/>
    <x v="13"/>
    <x v="2"/>
  </r>
  <r>
    <n v="10465"/>
    <d v="2023-06-16T00:00:00"/>
    <x v="2"/>
    <x v="1"/>
    <x v="4"/>
    <x v="1"/>
    <n v="1"/>
    <n v="850"/>
    <n v="850"/>
    <x v="15"/>
    <x v="2"/>
  </r>
  <r>
    <n v="10466"/>
    <d v="2023-04-01T00:00:00"/>
    <x v="3"/>
    <x v="4"/>
    <x v="2"/>
    <x v="0"/>
    <n v="7"/>
    <n v="180"/>
    <n v="1260"/>
    <x v="0"/>
    <x v="2"/>
  </r>
  <r>
    <n v="10467"/>
    <d v="2024-06-14T00:00:00"/>
    <x v="3"/>
    <x v="3"/>
    <x v="0"/>
    <x v="0"/>
    <n v="2"/>
    <n v="75"/>
    <n v="150"/>
    <x v="17"/>
    <x v="0"/>
  </r>
  <r>
    <n v="10468"/>
    <d v="2023-02-08T00:00:00"/>
    <x v="1"/>
    <x v="2"/>
    <x v="4"/>
    <x v="1"/>
    <n v="14"/>
    <n v="850"/>
    <n v="11900"/>
    <x v="16"/>
    <x v="1"/>
  </r>
  <r>
    <n v="10469"/>
    <d v="2023-05-06T00:00:00"/>
    <x v="0"/>
    <x v="3"/>
    <x v="4"/>
    <x v="1"/>
    <n v="5"/>
    <n v="850"/>
    <n v="4250"/>
    <x v="5"/>
    <x v="1"/>
  </r>
  <r>
    <n v="10470"/>
    <d v="2024-03-26T00:00:00"/>
    <x v="4"/>
    <x v="4"/>
    <x v="4"/>
    <x v="1"/>
    <n v="8"/>
    <n v="850"/>
    <n v="6800"/>
    <x v="1"/>
    <x v="1"/>
  </r>
  <r>
    <n v="10471"/>
    <d v="2023-06-22T00:00:00"/>
    <x v="0"/>
    <x v="0"/>
    <x v="5"/>
    <x v="0"/>
    <n v="8"/>
    <n v="30"/>
    <n v="240"/>
    <x v="15"/>
    <x v="0"/>
  </r>
  <r>
    <n v="10472"/>
    <d v="2023-08-08T00:00:00"/>
    <x v="0"/>
    <x v="0"/>
    <x v="5"/>
    <x v="0"/>
    <n v="3"/>
    <n v="30"/>
    <n v="90"/>
    <x v="7"/>
    <x v="0"/>
  </r>
  <r>
    <n v="10473"/>
    <d v="2023-02-27T00:00:00"/>
    <x v="1"/>
    <x v="0"/>
    <x v="3"/>
    <x v="0"/>
    <n v="7"/>
    <n v="45"/>
    <n v="315"/>
    <x v="16"/>
    <x v="0"/>
  </r>
  <r>
    <n v="10474"/>
    <d v="2024-04-20T00:00:00"/>
    <x v="1"/>
    <x v="2"/>
    <x v="1"/>
    <x v="1"/>
    <n v="3"/>
    <n v="220"/>
    <n v="660"/>
    <x v="6"/>
    <x v="2"/>
  </r>
  <r>
    <n v="10475"/>
    <d v="2024-03-31T00:00:00"/>
    <x v="1"/>
    <x v="1"/>
    <x v="2"/>
    <x v="0"/>
    <n v="6"/>
    <n v="180"/>
    <n v="1080"/>
    <x v="1"/>
    <x v="2"/>
  </r>
  <r>
    <n v="10476"/>
    <d v="2023-12-27T00:00:00"/>
    <x v="1"/>
    <x v="1"/>
    <x v="2"/>
    <x v="0"/>
    <n v="6"/>
    <n v="180"/>
    <n v="1080"/>
    <x v="10"/>
    <x v="2"/>
  </r>
  <r>
    <n v="10477"/>
    <d v="2023-01-01T00:00:00"/>
    <x v="3"/>
    <x v="3"/>
    <x v="2"/>
    <x v="0"/>
    <n v="3"/>
    <n v="180"/>
    <n v="540"/>
    <x v="4"/>
    <x v="2"/>
  </r>
  <r>
    <n v="10478"/>
    <d v="2024-01-22T00:00:00"/>
    <x v="1"/>
    <x v="2"/>
    <x v="3"/>
    <x v="0"/>
    <n v="7"/>
    <n v="45"/>
    <n v="315"/>
    <x v="9"/>
    <x v="0"/>
  </r>
  <r>
    <n v="10479"/>
    <d v="2023-12-14T00:00:00"/>
    <x v="3"/>
    <x v="0"/>
    <x v="5"/>
    <x v="0"/>
    <n v="3"/>
    <n v="30"/>
    <n v="90"/>
    <x v="10"/>
    <x v="0"/>
  </r>
  <r>
    <n v="10480"/>
    <d v="2023-07-09T00:00:00"/>
    <x v="3"/>
    <x v="0"/>
    <x v="0"/>
    <x v="0"/>
    <n v="8"/>
    <n v="75"/>
    <n v="600"/>
    <x v="13"/>
    <x v="2"/>
  </r>
  <r>
    <n v="10481"/>
    <d v="2024-05-19T00:00:00"/>
    <x v="1"/>
    <x v="4"/>
    <x v="0"/>
    <x v="0"/>
    <n v="10"/>
    <n v="75"/>
    <n v="750"/>
    <x v="11"/>
    <x v="2"/>
  </r>
  <r>
    <n v="10482"/>
    <d v="2023-07-10T00:00:00"/>
    <x v="2"/>
    <x v="4"/>
    <x v="3"/>
    <x v="0"/>
    <n v="4"/>
    <n v="45"/>
    <n v="180"/>
    <x v="13"/>
    <x v="0"/>
  </r>
  <r>
    <n v="10483"/>
    <d v="2024-05-22T00:00:00"/>
    <x v="4"/>
    <x v="0"/>
    <x v="0"/>
    <x v="0"/>
    <n v="13"/>
    <n v="75"/>
    <n v="975"/>
    <x v="11"/>
    <x v="2"/>
  </r>
  <r>
    <n v="10484"/>
    <d v="2024-01-04T00:00:00"/>
    <x v="0"/>
    <x v="0"/>
    <x v="2"/>
    <x v="0"/>
    <n v="1"/>
    <n v="180"/>
    <n v="180"/>
    <x v="9"/>
    <x v="0"/>
  </r>
  <r>
    <n v="10485"/>
    <d v="2024-02-13T00:00:00"/>
    <x v="3"/>
    <x v="2"/>
    <x v="1"/>
    <x v="1"/>
    <n v="4"/>
    <n v="220"/>
    <n v="880"/>
    <x v="12"/>
    <x v="2"/>
  </r>
  <r>
    <n v="10486"/>
    <d v="2023-04-27T00:00:00"/>
    <x v="4"/>
    <x v="1"/>
    <x v="4"/>
    <x v="1"/>
    <n v="14"/>
    <n v="850"/>
    <n v="11900"/>
    <x v="0"/>
    <x v="1"/>
  </r>
  <r>
    <n v="10487"/>
    <d v="2023-05-14T00:00:00"/>
    <x v="2"/>
    <x v="4"/>
    <x v="5"/>
    <x v="0"/>
    <n v="7"/>
    <n v="30"/>
    <n v="210"/>
    <x v="5"/>
    <x v="0"/>
  </r>
  <r>
    <n v="10488"/>
    <d v="2023-02-27T00:00:00"/>
    <x v="0"/>
    <x v="1"/>
    <x v="5"/>
    <x v="0"/>
    <n v="11"/>
    <n v="30"/>
    <n v="330"/>
    <x v="16"/>
    <x v="0"/>
  </r>
  <r>
    <n v="10489"/>
    <d v="2023-06-22T00:00:00"/>
    <x v="0"/>
    <x v="2"/>
    <x v="3"/>
    <x v="0"/>
    <n v="4"/>
    <n v="45"/>
    <n v="180"/>
    <x v="15"/>
    <x v="0"/>
  </r>
  <r>
    <n v="10490"/>
    <d v="2023-05-29T00:00:00"/>
    <x v="3"/>
    <x v="0"/>
    <x v="5"/>
    <x v="0"/>
    <n v="13"/>
    <n v="30"/>
    <n v="390"/>
    <x v="5"/>
    <x v="0"/>
  </r>
  <r>
    <n v="10491"/>
    <d v="2023-03-21T00:00:00"/>
    <x v="1"/>
    <x v="1"/>
    <x v="2"/>
    <x v="0"/>
    <n v="6"/>
    <n v="180"/>
    <n v="1080"/>
    <x v="3"/>
    <x v="2"/>
  </r>
  <r>
    <n v="10492"/>
    <d v="2023-08-01T00:00:00"/>
    <x v="2"/>
    <x v="0"/>
    <x v="0"/>
    <x v="0"/>
    <n v="9"/>
    <n v="75"/>
    <n v="675"/>
    <x v="7"/>
    <x v="2"/>
  </r>
  <r>
    <n v="10493"/>
    <d v="2023-07-22T00:00:00"/>
    <x v="3"/>
    <x v="0"/>
    <x v="2"/>
    <x v="0"/>
    <n v="1"/>
    <n v="180"/>
    <n v="180"/>
    <x v="13"/>
    <x v="0"/>
  </r>
  <r>
    <n v="10494"/>
    <d v="2023-08-17T00:00:00"/>
    <x v="2"/>
    <x v="3"/>
    <x v="3"/>
    <x v="0"/>
    <n v="13"/>
    <n v="45"/>
    <n v="585"/>
    <x v="7"/>
    <x v="2"/>
  </r>
  <r>
    <n v="10495"/>
    <d v="2023-08-15T00:00:00"/>
    <x v="1"/>
    <x v="1"/>
    <x v="2"/>
    <x v="0"/>
    <n v="5"/>
    <n v="180"/>
    <n v="900"/>
    <x v="7"/>
    <x v="2"/>
  </r>
  <r>
    <n v="10496"/>
    <d v="2024-06-15T00:00:00"/>
    <x v="1"/>
    <x v="1"/>
    <x v="0"/>
    <x v="0"/>
    <n v="11"/>
    <n v="75"/>
    <n v="825"/>
    <x v="17"/>
    <x v="2"/>
  </r>
  <r>
    <n v="10497"/>
    <d v="2024-03-16T00:00:00"/>
    <x v="3"/>
    <x v="0"/>
    <x v="1"/>
    <x v="1"/>
    <n v="7"/>
    <n v="220"/>
    <n v="1540"/>
    <x v="1"/>
    <x v="2"/>
  </r>
  <r>
    <n v="10498"/>
    <d v="2024-02-06T00:00:00"/>
    <x v="1"/>
    <x v="2"/>
    <x v="3"/>
    <x v="0"/>
    <n v="1"/>
    <n v="45"/>
    <n v="45"/>
    <x v="12"/>
    <x v="0"/>
  </r>
  <r>
    <n v="10499"/>
    <d v="2023-02-16T00:00:00"/>
    <x v="4"/>
    <x v="3"/>
    <x v="1"/>
    <x v="1"/>
    <n v="14"/>
    <n v="220"/>
    <n v="3080"/>
    <x v="16"/>
    <x v="1"/>
  </r>
  <r>
    <n v="10500"/>
    <d v="2023-08-21T00:00:00"/>
    <x v="0"/>
    <x v="0"/>
    <x v="4"/>
    <x v="1"/>
    <n v="4"/>
    <n v="850"/>
    <n v="3400"/>
    <x v="7"/>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n v="10001"/>
    <x v="0"/>
    <s v="South East"/>
    <x v="0"/>
    <s v="Headset"/>
    <s v="Accessories"/>
    <n v="1"/>
    <n v="75"/>
    <n v="75"/>
    <s v="Apr 2023"/>
    <x v="0"/>
  </r>
  <r>
    <n v="10002"/>
    <x v="1"/>
    <s v="London"/>
    <x v="1"/>
    <s v="Monitor"/>
    <s v="Electronics"/>
    <n v="14"/>
    <n v="220"/>
    <n v="3080"/>
    <s v="Mar 2024"/>
    <x v="1"/>
  </r>
  <r>
    <n v="10003"/>
    <x v="2"/>
    <s v="London"/>
    <x v="2"/>
    <s v="Monitor"/>
    <s v="Electronics"/>
    <n v="1"/>
    <n v="220"/>
    <n v="220"/>
    <s v="Sep 2023"/>
    <x v="0"/>
  </r>
  <r>
    <n v="10004"/>
    <x v="3"/>
    <s v="South East"/>
    <x v="0"/>
    <s v="Docking Station"/>
    <s v="Accessories"/>
    <n v="5"/>
    <n v="180"/>
    <n v="900"/>
    <s v="Apr 2023"/>
    <x v="2"/>
  </r>
  <r>
    <n v="10005"/>
    <x v="4"/>
    <s v="Midlands"/>
    <x v="3"/>
    <s v="Keyboard"/>
    <s v="Accessories"/>
    <n v="6"/>
    <n v="45"/>
    <n v="270"/>
    <s v="Mar 2023"/>
    <x v="0"/>
  </r>
  <r>
    <n v="10006"/>
    <x v="5"/>
    <s v="Scotland"/>
    <x v="3"/>
    <s v="Monitor"/>
    <s v="Electronics"/>
    <n v="6"/>
    <n v="220"/>
    <n v="1320"/>
    <s v="Jan 2023"/>
    <x v="2"/>
  </r>
  <r>
    <n v="10007"/>
    <x v="6"/>
    <s v="Scotland"/>
    <x v="3"/>
    <s v="Laptop"/>
    <s v="Electronics"/>
    <n v="3"/>
    <n v="850"/>
    <n v="2550"/>
    <s v="May 2023"/>
    <x v="1"/>
  </r>
  <r>
    <n v="10008"/>
    <x v="7"/>
    <s v="London"/>
    <x v="3"/>
    <s v="Headset"/>
    <s v="Accessories"/>
    <n v="7"/>
    <n v="75"/>
    <n v="525"/>
    <s v="Apr 2024"/>
    <x v="2"/>
  </r>
  <r>
    <n v="10009"/>
    <x v="8"/>
    <s v="London"/>
    <x v="1"/>
    <s v="Headset"/>
    <s v="Accessories"/>
    <n v="9"/>
    <n v="75"/>
    <n v="675"/>
    <s v="Aug 2023"/>
    <x v="2"/>
  </r>
  <r>
    <n v="10010"/>
    <x v="9"/>
    <s v="Midlands"/>
    <x v="2"/>
    <s v="Docking Station"/>
    <s v="Accessories"/>
    <n v="11"/>
    <n v="180"/>
    <n v="1980"/>
    <s v="Nov 2023"/>
    <x v="2"/>
  </r>
  <r>
    <n v="10011"/>
    <x v="10"/>
    <s v="North West"/>
    <x v="4"/>
    <s v="Mouse"/>
    <s v="Accessories"/>
    <n v="12"/>
    <n v="30"/>
    <n v="360"/>
    <s v="Apr 2024"/>
    <x v="0"/>
  </r>
  <r>
    <n v="10012"/>
    <x v="11"/>
    <s v="South East"/>
    <x v="1"/>
    <s v="Docking Station"/>
    <s v="Accessories"/>
    <n v="10"/>
    <n v="180"/>
    <n v="1800"/>
    <s v="Mar 2023"/>
    <x v="2"/>
  </r>
  <r>
    <n v="10013"/>
    <x v="12"/>
    <s v="London"/>
    <x v="1"/>
    <s v="Mouse"/>
    <s v="Accessories"/>
    <n v="8"/>
    <n v="30"/>
    <n v="240"/>
    <s v="Jan 2024"/>
    <x v="0"/>
  </r>
  <r>
    <n v="10014"/>
    <x v="13"/>
    <s v="Scotland"/>
    <x v="4"/>
    <s v="Docking Station"/>
    <s v="Accessories"/>
    <n v="6"/>
    <n v="180"/>
    <n v="1080"/>
    <s v="Apr 2023"/>
    <x v="2"/>
  </r>
  <r>
    <n v="10015"/>
    <x v="14"/>
    <s v="Midlands"/>
    <x v="4"/>
    <s v="Docking Station"/>
    <s v="Accessories"/>
    <n v="12"/>
    <n v="180"/>
    <n v="2160"/>
    <s v="May 2023"/>
    <x v="1"/>
  </r>
  <r>
    <n v="10016"/>
    <x v="15"/>
    <s v="South East"/>
    <x v="3"/>
    <s v="Docking Station"/>
    <s v="Accessories"/>
    <n v="8"/>
    <n v="180"/>
    <n v="1440"/>
    <s v="Nov 2023"/>
    <x v="2"/>
  </r>
  <r>
    <n v="10017"/>
    <x v="16"/>
    <s v="Midlands"/>
    <x v="1"/>
    <s v="Mouse"/>
    <s v="Accessories"/>
    <n v="12"/>
    <n v="30"/>
    <n v="360"/>
    <s v="Dec 2023"/>
    <x v="0"/>
  </r>
  <r>
    <n v="10018"/>
    <x v="17"/>
    <s v="South East"/>
    <x v="0"/>
    <s v="Mouse"/>
    <s v="Accessories"/>
    <n v="5"/>
    <n v="30"/>
    <n v="150"/>
    <s v="May 2024"/>
    <x v="0"/>
  </r>
  <r>
    <n v="10019"/>
    <x v="18"/>
    <s v="South East"/>
    <x v="4"/>
    <s v="Docking Station"/>
    <s v="Accessories"/>
    <n v="8"/>
    <n v="180"/>
    <n v="1440"/>
    <s v="Feb 2024"/>
    <x v="2"/>
  </r>
  <r>
    <n v="10020"/>
    <x v="19"/>
    <s v="London"/>
    <x v="4"/>
    <s v="Monitor"/>
    <s v="Electronics"/>
    <n v="10"/>
    <n v="220"/>
    <n v="2200"/>
    <s v="Jan 2024"/>
    <x v="1"/>
  </r>
  <r>
    <n v="10021"/>
    <x v="20"/>
    <s v="Midlands"/>
    <x v="2"/>
    <s v="Keyboard"/>
    <s v="Accessories"/>
    <n v="12"/>
    <n v="45"/>
    <n v="540"/>
    <s v="Jul 2023"/>
    <x v="2"/>
  </r>
  <r>
    <n v="10022"/>
    <x v="21"/>
    <s v="Midlands"/>
    <x v="0"/>
    <s v="Keyboard"/>
    <s v="Accessories"/>
    <n v="4"/>
    <n v="45"/>
    <n v="180"/>
    <s v="Oct 2023"/>
    <x v="0"/>
  </r>
  <r>
    <n v="10023"/>
    <x v="22"/>
    <s v="Scotland"/>
    <x v="0"/>
    <s v="Keyboard"/>
    <s v="Accessories"/>
    <n v="10"/>
    <n v="45"/>
    <n v="450"/>
    <s v="Jun 2023"/>
    <x v="0"/>
  </r>
  <r>
    <n v="10024"/>
    <x v="23"/>
    <s v="Scotland"/>
    <x v="4"/>
    <s v="Mouse"/>
    <s v="Accessories"/>
    <n v="8"/>
    <n v="30"/>
    <n v="240"/>
    <s v="Apr 2024"/>
    <x v="0"/>
  </r>
  <r>
    <n v="10025"/>
    <x v="24"/>
    <s v="London"/>
    <x v="3"/>
    <s v="Mouse"/>
    <s v="Accessories"/>
    <n v="10"/>
    <n v="30"/>
    <n v="300"/>
    <s v="Nov 2023"/>
    <x v="0"/>
  </r>
  <r>
    <n v="10026"/>
    <x v="25"/>
    <s v="London"/>
    <x v="2"/>
    <s v="Monitor"/>
    <s v="Electronics"/>
    <n v="12"/>
    <n v="220"/>
    <n v="2640"/>
    <s v="Jan 2023"/>
    <x v="1"/>
  </r>
  <r>
    <n v="10027"/>
    <x v="26"/>
    <s v="North West"/>
    <x v="0"/>
    <s v="Keyboard"/>
    <s v="Accessories"/>
    <n v="2"/>
    <n v="45"/>
    <n v="90"/>
    <s v="Sep 2023"/>
    <x v="0"/>
  </r>
  <r>
    <n v="10028"/>
    <x v="27"/>
    <s v="Scotland"/>
    <x v="4"/>
    <s v="Keyboard"/>
    <s v="Accessories"/>
    <n v="12"/>
    <n v="45"/>
    <n v="540"/>
    <s v="Apr 2024"/>
    <x v="2"/>
  </r>
  <r>
    <n v="10029"/>
    <x v="28"/>
    <s v="South East"/>
    <x v="0"/>
    <s v="Docking Station"/>
    <s v="Accessories"/>
    <n v="12"/>
    <n v="180"/>
    <n v="2160"/>
    <s v="Feb 2023"/>
    <x v="1"/>
  </r>
  <r>
    <n v="10030"/>
    <x v="29"/>
    <s v="Midlands"/>
    <x v="2"/>
    <s v="Mouse"/>
    <s v="Accessories"/>
    <n v="5"/>
    <n v="30"/>
    <n v="150"/>
    <s v="May 2024"/>
    <x v="0"/>
  </r>
  <r>
    <n v="10031"/>
    <x v="30"/>
    <s v="London"/>
    <x v="2"/>
    <s v="Keyboard"/>
    <s v="Accessories"/>
    <n v="9"/>
    <n v="45"/>
    <n v="405"/>
    <s v="Apr 2024"/>
    <x v="0"/>
  </r>
  <r>
    <n v="10032"/>
    <x v="31"/>
    <s v="Midlands"/>
    <x v="1"/>
    <s v="Headset"/>
    <s v="Accessories"/>
    <n v="4"/>
    <n v="75"/>
    <n v="300"/>
    <s v="Jul 2023"/>
    <x v="0"/>
  </r>
  <r>
    <n v="10033"/>
    <x v="32"/>
    <s v="Midlands"/>
    <x v="4"/>
    <s v="Monitor"/>
    <s v="Electronics"/>
    <n v="11"/>
    <n v="220"/>
    <n v="2420"/>
    <s v="Sep 2023"/>
    <x v="1"/>
  </r>
  <r>
    <n v="10034"/>
    <x v="33"/>
    <s v="North West"/>
    <x v="2"/>
    <s v="Headset"/>
    <s v="Accessories"/>
    <n v="6"/>
    <n v="75"/>
    <n v="450"/>
    <s v="May 2024"/>
    <x v="0"/>
  </r>
  <r>
    <n v="10035"/>
    <x v="14"/>
    <s v="Scotland"/>
    <x v="1"/>
    <s v="Headset"/>
    <s v="Accessories"/>
    <n v="1"/>
    <n v="75"/>
    <n v="75"/>
    <s v="May 2023"/>
    <x v="0"/>
  </r>
  <r>
    <n v="10036"/>
    <x v="34"/>
    <s v="London"/>
    <x v="1"/>
    <s v="Monitor"/>
    <s v="Electronics"/>
    <n v="9"/>
    <n v="220"/>
    <n v="1980"/>
    <s v="Apr 2024"/>
    <x v="2"/>
  </r>
  <r>
    <n v="10037"/>
    <x v="5"/>
    <s v="Midlands"/>
    <x v="0"/>
    <s v="Headset"/>
    <s v="Accessories"/>
    <n v="1"/>
    <n v="75"/>
    <n v="75"/>
    <s v="Jan 2023"/>
    <x v="0"/>
  </r>
  <r>
    <n v="10038"/>
    <x v="35"/>
    <s v="London"/>
    <x v="0"/>
    <s v="Keyboard"/>
    <s v="Accessories"/>
    <n v="5"/>
    <n v="45"/>
    <n v="225"/>
    <s v="Jun 2023"/>
    <x v="0"/>
  </r>
  <r>
    <n v="10039"/>
    <x v="36"/>
    <s v="South East"/>
    <x v="1"/>
    <s v="Mouse"/>
    <s v="Accessories"/>
    <n v="4"/>
    <n v="30"/>
    <n v="120"/>
    <s v="Oct 2023"/>
    <x v="0"/>
  </r>
  <r>
    <n v="10040"/>
    <x v="37"/>
    <s v="North West"/>
    <x v="0"/>
    <s v="Monitor"/>
    <s v="Electronics"/>
    <n v="13"/>
    <n v="220"/>
    <n v="2860"/>
    <s v="Jan 2024"/>
    <x v="1"/>
  </r>
  <r>
    <n v="10041"/>
    <x v="38"/>
    <s v="South East"/>
    <x v="2"/>
    <s v="Docking Station"/>
    <s v="Accessories"/>
    <n v="12"/>
    <n v="180"/>
    <n v="2160"/>
    <s v="Nov 2023"/>
    <x v="1"/>
  </r>
  <r>
    <n v="10042"/>
    <x v="39"/>
    <s v="London"/>
    <x v="3"/>
    <s v="Headset"/>
    <s v="Accessories"/>
    <n v="13"/>
    <n v="75"/>
    <n v="975"/>
    <s v="Jan 2023"/>
    <x v="2"/>
  </r>
  <r>
    <n v="10043"/>
    <x v="40"/>
    <s v="London"/>
    <x v="2"/>
    <s v="Monitor"/>
    <s v="Electronics"/>
    <n v="13"/>
    <n v="220"/>
    <n v="2860"/>
    <s v="Aug 2023"/>
    <x v="1"/>
  </r>
  <r>
    <n v="10044"/>
    <x v="41"/>
    <s v="Scotland"/>
    <x v="1"/>
    <s v="Laptop"/>
    <s v="Electronics"/>
    <n v="14"/>
    <n v="850"/>
    <n v="11900"/>
    <s v="Dec 2023"/>
    <x v="1"/>
  </r>
  <r>
    <n v="10045"/>
    <x v="42"/>
    <s v="Midlands"/>
    <x v="1"/>
    <s v="Laptop"/>
    <s v="Electronics"/>
    <n v="3"/>
    <n v="850"/>
    <n v="2550"/>
    <s v="Dec 2023"/>
    <x v="1"/>
  </r>
  <r>
    <n v="10046"/>
    <x v="43"/>
    <s v="Midlands"/>
    <x v="2"/>
    <s v="Mouse"/>
    <s v="Accessories"/>
    <n v="13"/>
    <n v="30"/>
    <n v="390"/>
    <s v="Apr 2023"/>
    <x v="0"/>
  </r>
  <r>
    <n v="10047"/>
    <x v="44"/>
    <s v="South East"/>
    <x v="0"/>
    <s v="Keyboard"/>
    <s v="Accessories"/>
    <n v="6"/>
    <n v="45"/>
    <n v="270"/>
    <s v="Jan 2024"/>
    <x v="0"/>
  </r>
  <r>
    <n v="10048"/>
    <x v="45"/>
    <s v="North West"/>
    <x v="0"/>
    <s v="Mouse"/>
    <s v="Accessories"/>
    <n v="2"/>
    <n v="30"/>
    <n v="60"/>
    <s v="Mar 2024"/>
    <x v="0"/>
  </r>
  <r>
    <n v="10049"/>
    <x v="46"/>
    <s v="Midlands"/>
    <x v="1"/>
    <s v="Mouse"/>
    <s v="Accessories"/>
    <n v="3"/>
    <n v="30"/>
    <n v="90"/>
    <s v="Mar 2024"/>
    <x v="0"/>
  </r>
  <r>
    <n v="10050"/>
    <x v="47"/>
    <s v="Scotland"/>
    <x v="4"/>
    <s v="Mouse"/>
    <s v="Accessories"/>
    <n v="5"/>
    <n v="30"/>
    <n v="150"/>
    <s v="May 2024"/>
    <x v="0"/>
  </r>
  <r>
    <n v="10051"/>
    <x v="48"/>
    <s v="South East"/>
    <x v="0"/>
    <s v="Mouse"/>
    <s v="Accessories"/>
    <n v="9"/>
    <n v="30"/>
    <n v="270"/>
    <s v="Feb 2023"/>
    <x v="0"/>
  </r>
  <r>
    <n v="10052"/>
    <x v="49"/>
    <s v="South East"/>
    <x v="2"/>
    <s v="Docking Station"/>
    <s v="Accessories"/>
    <n v="2"/>
    <n v="180"/>
    <n v="360"/>
    <s v="Jul 2023"/>
    <x v="0"/>
  </r>
  <r>
    <n v="10053"/>
    <x v="50"/>
    <s v="Scotland"/>
    <x v="0"/>
    <s v="Docking Station"/>
    <s v="Accessories"/>
    <n v="10"/>
    <n v="180"/>
    <n v="1800"/>
    <s v="Mar 2023"/>
    <x v="2"/>
  </r>
  <r>
    <n v="10054"/>
    <x v="37"/>
    <s v="North West"/>
    <x v="2"/>
    <s v="Monitor"/>
    <s v="Electronics"/>
    <n v="8"/>
    <n v="220"/>
    <n v="1760"/>
    <s v="Jan 2024"/>
    <x v="2"/>
  </r>
  <r>
    <n v="10055"/>
    <x v="51"/>
    <s v="Scotland"/>
    <x v="1"/>
    <s v="Laptop"/>
    <s v="Electronics"/>
    <n v="14"/>
    <n v="850"/>
    <n v="11900"/>
    <s v="Jan 2023"/>
    <x v="1"/>
  </r>
  <r>
    <n v="10056"/>
    <x v="52"/>
    <s v="North West"/>
    <x v="0"/>
    <s v="Mouse"/>
    <s v="Accessories"/>
    <n v="2"/>
    <n v="30"/>
    <n v="60"/>
    <s v="Jan 2024"/>
    <x v="0"/>
  </r>
  <r>
    <n v="10057"/>
    <x v="53"/>
    <s v="Scotland"/>
    <x v="2"/>
    <s v="Monitor"/>
    <s v="Electronics"/>
    <n v="11"/>
    <n v="220"/>
    <n v="2420"/>
    <s v="Apr 2023"/>
    <x v="1"/>
  </r>
  <r>
    <n v="10058"/>
    <x v="54"/>
    <s v="Scotland"/>
    <x v="1"/>
    <s v="Laptop"/>
    <s v="Electronics"/>
    <n v="13"/>
    <n v="850"/>
    <n v="11050"/>
    <s v="Apr 2024"/>
    <x v="1"/>
  </r>
  <r>
    <n v="10059"/>
    <x v="55"/>
    <s v="London"/>
    <x v="4"/>
    <s v="Headset"/>
    <s v="Accessories"/>
    <n v="5"/>
    <n v="75"/>
    <n v="375"/>
    <s v="Feb 2024"/>
    <x v="0"/>
  </r>
  <r>
    <n v="10060"/>
    <x v="56"/>
    <s v="South East"/>
    <x v="2"/>
    <s v="Keyboard"/>
    <s v="Accessories"/>
    <n v="7"/>
    <n v="45"/>
    <n v="315"/>
    <s v="Jun 2023"/>
    <x v="0"/>
  </r>
  <r>
    <n v="10061"/>
    <x v="57"/>
    <s v="Scotland"/>
    <x v="4"/>
    <s v="Docking Station"/>
    <s v="Accessories"/>
    <n v="8"/>
    <n v="180"/>
    <n v="1440"/>
    <s v="Jul 2023"/>
    <x v="2"/>
  </r>
  <r>
    <n v="10062"/>
    <x v="58"/>
    <s v="Scotland"/>
    <x v="4"/>
    <s v="Headset"/>
    <s v="Accessories"/>
    <n v="1"/>
    <n v="75"/>
    <n v="75"/>
    <s v="Sep 2023"/>
    <x v="0"/>
  </r>
  <r>
    <n v="10063"/>
    <x v="2"/>
    <s v="Midlands"/>
    <x v="3"/>
    <s v="Laptop"/>
    <s v="Electronics"/>
    <n v="6"/>
    <n v="850"/>
    <n v="5100"/>
    <s v="Sep 2023"/>
    <x v="1"/>
  </r>
  <r>
    <n v="10064"/>
    <x v="59"/>
    <s v="South East"/>
    <x v="0"/>
    <s v="Headset"/>
    <s v="Accessories"/>
    <n v="1"/>
    <n v="75"/>
    <n v="75"/>
    <s v="Mar 2024"/>
    <x v="0"/>
  </r>
  <r>
    <n v="10065"/>
    <x v="60"/>
    <s v="Midlands"/>
    <x v="2"/>
    <s v="Keyboard"/>
    <s v="Accessories"/>
    <n v="2"/>
    <n v="45"/>
    <n v="90"/>
    <s v="Apr 2024"/>
    <x v="0"/>
  </r>
  <r>
    <n v="10066"/>
    <x v="61"/>
    <s v="South East"/>
    <x v="4"/>
    <s v="Laptop"/>
    <s v="Electronics"/>
    <n v="1"/>
    <n v="850"/>
    <n v="850"/>
    <s v="Sep 2023"/>
    <x v="2"/>
  </r>
  <r>
    <n v="10067"/>
    <x v="62"/>
    <s v="Midlands"/>
    <x v="3"/>
    <s v="Headset"/>
    <s v="Accessories"/>
    <n v="11"/>
    <n v="75"/>
    <n v="825"/>
    <s v="Oct 2023"/>
    <x v="2"/>
  </r>
  <r>
    <n v="10068"/>
    <x v="63"/>
    <s v="Scotland"/>
    <x v="1"/>
    <s v="Docking Station"/>
    <s v="Accessories"/>
    <n v="5"/>
    <n v="180"/>
    <n v="900"/>
    <s v="Dec 2023"/>
    <x v="2"/>
  </r>
  <r>
    <n v="10069"/>
    <x v="64"/>
    <s v="Scotland"/>
    <x v="2"/>
    <s v="Docking Station"/>
    <s v="Accessories"/>
    <n v="10"/>
    <n v="180"/>
    <n v="1800"/>
    <s v="Feb 2023"/>
    <x v="2"/>
  </r>
  <r>
    <n v="10070"/>
    <x v="65"/>
    <s v="London"/>
    <x v="4"/>
    <s v="Monitor"/>
    <s v="Electronics"/>
    <n v="9"/>
    <n v="220"/>
    <n v="1980"/>
    <s v="Aug 2023"/>
    <x v="2"/>
  </r>
  <r>
    <n v="10071"/>
    <x v="66"/>
    <s v="Midlands"/>
    <x v="0"/>
    <s v="Headset"/>
    <s v="Accessories"/>
    <n v="6"/>
    <n v="75"/>
    <n v="450"/>
    <s v="Jul 2023"/>
    <x v="0"/>
  </r>
  <r>
    <n v="10072"/>
    <x v="67"/>
    <s v="North West"/>
    <x v="3"/>
    <s v="Mouse"/>
    <s v="Accessories"/>
    <n v="11"/>
    <n v="30"/>
    <n v="330"/>
    <s v="Jan 2024"/>
    <x v="0"/>
  </r>
  <r>
    <n v="10073"/>
    <x v="68"/>
    <s v="London"/>
    <x v="4"/>
    <s v="Headset"/>
    <s v="Accessories"/>
    <n v="11"/>
    <n v="75"/>
    <n v="825"/>
    <s v="May 2024"/>
    <x v="2"/>
  </r>
  <r>
    <n v="10074"/>
    <x v="69"/>
    <s v="Midlands"/>
    <x v="0"/>
    <s v="Laptop"/>
    <s v="Electronics"/>
    <n v="1"/>
    <n v="850"/>
    <n v="850"/>
    <s v="Feb 2023"/>
    <x v="2"/>
  </r>
  <r>
    <n v="10075"/>
    <x v="70"/>
    <s v="Midlands"/>
    <x v="4"/>
    <s v="Laptop"/>
    <s v="Electronics"/>
    <n v="13"/>
    <n v="850"/>
    <n v="11050"/>
    <s v="Jun 2023"/>
    <x v="1"/>
  </r>
  <r>
    <n v="10076"/>
    <x v="71"/>
    <s v="London"/>
    <x v="2"/>
    <s v="Headset"/>
    <s v="Accessories"/>
    <n v="1"/>
    <n v="75"/>
    <n v="75"/>
    <s v="Jan 2023"/>
    <x v="0"/>
  </r>
  <r>
    <n v="10077"/>
    <x v="72"/>
    <s v="Scotland"/>
    <x v="2"/>
    <s v="Keyboard"/>
    <s v="Accessories"/>
    <n v="2"/>
    <n v="45"/>
    <n v="90"/>
    <s v="Mar 2023"/>
    <x v="0"/>
  </r>
  <r>
    <n v="10078"/>
    <x v="73"/>
    <s v="Midlands"/>
    <x v="2"/>
    <s v="Docking Station"/>
    <s v="Accessories"/>
    <n v="9"/>
    <n v="180"/>
    <n v="1620"/>
    <s v="Jun 2024"/>
    <x v="2"/>
  </r>
  <r>
    <n v="10079"/>
    <x v="16"/>
    <s v="Scotland"/>
    <x v="3"/>
    <s v="Laptop"/>
    <s v="Electronics"/>
    <n v="3"/>
    <n v="850"/>
    <n v="2550"/>
    <s v="Dec 2023"/>
    <x v="1"/>
  </r>
  <r>
    <n v="10080"/>
    <x v="74"/>
    <s v="London"/>
    <x v="2"/>
    <s v="Docking Station"/>
    <s v="Accessories"/>
    <n v="1"/>
    <n v="180"/>
    <n v="180"/>
    <s v="May 2023"/>
    <x v="0"/>
  </r>
  <r>
    <n v="10081"/>
    <x v="75"/>
    <s v="Scotland"/>
    <x v="0"/>
    <s v="Laptop"/>
    <s v="Electronics"/>
    <n v="5"/>
    <n v="850"/>
    <n v="4250"/>
    <s v="Apr 2024"/>
    <x v="1"/>
  </r>
  <r>
    <n v="10082"/>
    <x v="76"/>
    <s v="South East"/>
    <x v="4"/>
    <s v="Monitor"/>
    <s v="Electronics"/>
    <n v="7"/>
    <n v="220"/>
    <n v="1540"/>
    <s v="Mar 2023"/>
    <x v="2"/>
  </r>
  <r>
    <n v="10083"/>
    <x v="77"/>
    <s v="North West"/>
    <x v="1"/>
    <s v="Mouse"/>
    <s v="Accessories"/>
    <n v="6"/>
    <n v="30"/>
    <n v="180"/>
    <s v="May 2023"/>
    <x v="0"/>
  </r>
  <r>
    <n v="10084"/>
    <x v="78"/>
    <s v="Midlands"/>
    <x v="0"/>
    <s v="Laptop"/>
    <s v="Electronics"/>
    <n v="12"/>
    <n v="850"/>
    <n v="10200"/>
    <s v="May 2024"/>
    <x v="1"/>
  </r>
  <r>
    <n v="10085"/>
    <x v="79"/>
    <s v="North West"/>
    <x v="0"/>
    <s v="Docking Station"/>
    <s v="Accessories"/>
    <n v="1"/>
    <n v="180"/>
    <n v="180"/>
    <s v="Jan 2024"/>
    <x v="0"/>
  </r>
  <r>
    <n v="10086"/>
    <x v="80"/>
    <s v="Scotland"/>
    <x v="2"/>
    <s v="Monitor"/>
    <s v="Electronics"/>
    <n v="5"/>
    <n v="220"/>
    <n v="1100"/>
    <s v="Feb 2024"/>
    <x v="2"/>
  </r>
  <r>
    <n v="10087"/>
    <x v="81"/>
    <s v="Midlands"/>
    <x v="3"/>
    <s v="Laptop"/>
    <s v="Electronics"/>
    <n v="5"/>
    <n v="850"/>
    <n v="4250"/>
    <s v="Oct 2023"/>
    <x v="1"/>
  </r>
  <r>
    <n v="10088"/>
    <x v="82"/>
    <s v="Scotland"/>
    <x v="4"/>
    <s v="Keyboard"/>
    <s v="Accessories"/>
    <n v="6"/>
    <n v="45"/>
    <n v="270"/>
    <s v="Jan 2024"/>
    <x v="0"/>
  </r>
  <r>
    <n v="10089"/>
    <x v="83"/>
    <s v="South East"/>
    <x v="3"/>
    <s v="Mouse"/>
    <s v="Accessories"/>
    <n v="3"/>
    <n v="30"/>
    <n v="90"/>
    <s v="May 2024"/>
    <x v="0"/>
  </r>
  <r>
    <n v="10090"/>
    <x v="84"/>
    <s v="London"/>
    <x v="4"/>
    <s v="Laptop"/>
    <s v="Electronics"/>
    <n v="5"/>
    <n v="850"/>
    <n v="4250"/>
    <s v="Aug 2023"/>
    <x v="1"/>
  </r>
  <r>
    <n v="10091"/>
    <x v="69"/>
    <s v="Midlands"/>
    <x v="4"/>
    <s v="Monitor"/>
    <s v="Electronics"/>
    <n v="7"/>
    <n v="220"/>
    <n v="1540"/>
    <s v="Feb 2023"/>
    <x v="2"/>
  </r>
  <r>
    <n v="10092"/>
    <x v="85"/>
    <s v="South East"/>
    <x v="3"/>
    <s v="Keyboard"/>
    <s v="Accessories"/>
    <n v="5"/>
    <n v="45"/>
    <n v="225"/>
    <s v="Jan 2023"/>
    <x v="0"/>
  </r>
  <r>
    <n v="10093"/>
    <x v="86"/>
    <s v="South East"/>
    <x v="0"/>
    <s v="Headset"/>
    <s v="Accessories"/>
    <n v="5"/>
    <n v="75"/>
    <n v="375"/>
    <s v="May 2023"/>
    <x v="0"/>
  </r>
  <r>
    <n v="10094"/>
    <x v="87"/>
    <s v="Midlands"/>
    <x v="4"/>
    <s v="Monitor"/>
    <s v="Electronics"/>
    <n v="5"/>
    <n v="220"/>
    <n v="1100"/>
    <s v="Jul 2023"/>
    <x v="2"/>
  </r>
  <r>
    <n v="10095"/>
    <x v="88"/>
    <s v="Scotland"/>
    <x v="3"/>
    <s v="Monitor"/>
    <s v="Electronics"/>
    <n v="10"/>
    <n v="220"/>
    <n v="2200"/>
    <s v="Feb 2023"/>
    <x v="1"/>
  </r>
  <r>
    <n v="10096"/>
    <x v="89"/>
    <s v="South East"/>
    <x v="4"/>
    <s v="Keyboard"/>
    <s v="Accessories"/>
    <n v="10"/>
    <n v="45"/>
    <n v="450"/>
    <s v="Feb 2023"/>
    <x v="0"/>
  </r>
  <r>
    <n v="10097"/>
    <x v="90"/>
    <s v="North West"/>
    <x v="1"/>
    <s v="Monitor"/>
    <s v="Electronics"/>
    <n v="3"/>
    <n v="220"/>
    <n v="660"/>
    <s v="May 2024"/>
    <x v="2"/>
  </r>
  <r>
    <n v="10098"/>
    <x v="91"/>
    <s v="South East"/>
    <x v="0"/>
    <s v="Keyboard"/>
    <s v="Accessories"/>
    <n v="1"/>
    <n v="45"/>
    <n v="45"/>
    <s v="Feb 2024"/>
    <x v="0"/>
  </r>
  <r>
    <n v="10099"/>
    <x v="92"/>
    <s v="Scotland"/>
    <x v="2"/>
    <s v="Laptop"/>
    <s v="Electronics"/>
    <n v="5"/>
    <n v="850"/>
    <n v="4250"/>
    <s v="Apr 2023"/>
    <x v="1"/>
  </r>
  <r>
    <n v="10100"/>
    <x v="93"/>
    <s v="Scotland"/>
    <x v="4"/>
    <s v="Keyboard"/>
    <s v="Accessories"/>
    <n v="14"/>
    <n v="45"/>
    <n v="630"/>
    <s v="Jun 2024"/>
    <x v="2"/>
  </r>
  <r>
    <n v="10101"/>
    <x v="60"/>
    <s v="North West"/>
    <x v="1"/>
    <s v="Keyboard"/>
    <s v="Accessories"/>
    <n v="9"/>
    <n v="45"/>
    <n v="405"/>
    <s v="Apr 2024"/>
    <x v="0"/>
  </r>
  <r>
    <n v="10102"/>
    <x v="94"/>
    <s v="South East"/>
    <x v="2"/>
    <s v="Mouse"/>
    <s v="Accessories"/>
    <n v="14"/>
    <n v="30"/>
    <n v="420"/>
    <s v="Jan 2023"/>
    <x v="0"/>
  </r>
  <r>
    <n v="10103"/>
    <x v="95"/>
    <s v="Scotland"/>
    <x v="2"/>
    <s v="Keyboard"/>
    <s v="Accessories"/>
    <n v="1"/>
    <n v="45"/>
    <n v="45"/>
    <s v="Aug 2023"/>
    <x v="0"/>
  </r>
  <r>
    <n v="10104"/>
    <x v="90"/>
    <s v="Midlands"/>
    <x v="4"/>
    <s v="Keyboard"/>
    <s v="Accessories"/>
    <n v="3"/>
    <n v="45"/>
    <n v="135"/>
    <s v="May 2024"/>
    <x v="0"/>
  </r>
  <r>
    <n v="10105"/>
    <x v="96"/>
    <s v="London"/>
    <x v="3"/>
    <s v="Headset"/>
    <s v="Accessories"/>
    <n v="13"/>
    <n v="75"/>
    <n v="975"/>
    <s v="Feb 2024"/>
    <x v="2"/>
  </r>
  <r>
    <n v="10106"/>
    <x v="97"/>
    <s v="London"/>
    <x v="4"/>
    <s v="Laptop"/>
    <s v="Electronics"/>
    <n v="13"/>
    <n v="850"/>
    <n v="11050"/>
    <s v="Jan 2024"/>
    <x v="1"/>
  </r>
  <r>
    <n v="10107"/>
    <x v="98"/>
    <s v="London"/>
    <x v="1"/>
    <s v="Mouse"/>
    <s v="Accessories"/>
    <n v="4"/>
    <n v="30"/>
    <n v="120"/>
    <s v="Jul 2023"/>
    <x v="0"/>
  </r>
  <r>
    <n v="10108"/>
    <x v="71"/>
    <s v="South East"/>
    <x v="2"/>
    <s v="Headset"/>
    <s v="Accessories"/>
    <n v="14"/>
    <n v="75"/>
    <n v="1050"/>
    <s v="Jan 2023"/>
    <x v="2"/>
  </r>
  <r>
    <n v="10109"/>
    <x v="99"/>
    <s v="North West"/>
    <x v="4"/>
    <s v="Docking Station"/>
    <s v="Accessories"/>
    <n v="1"/>
    <n v="180"/>
    <n v="180"/>
    <s v="Apr 2024"/>
    <x v="0"/>
  </r>
  <r>
    <n v="10110"/>
    <x v="100"/>
    <s v="Scotland"/>
    <x v="3"/>
    <s v="Laptop"/>
    <s v="Electronics"/>
    <n v="1"/>
    <n v="850"/>
    <n v="850"/>
    <s v="Aug 2023"/>
    <x v="2"/>
  </r>
  <r>
    <n v="10111"/>
    <x v="101"/>
    <s v="Midlands"/>
    <x v="4"/>
    <s v="Laptop"/>
    <s v="Electronics"/>
    <n v="8"/>
    <n v="850"/>
    <n v="6800"/>
    <s v="Apr 2023"/>
    <x v="1"/>
  </r>
  <r>
    <n v="10112"/>
    <x v="34"/>
    <s v="Midlands"/>
    <x v="0"/>
    <s v="Docking Station"/>
    <s v="Accessories"/>
    <n v="2"/>
    <n v="180"/>
    <n v="360"/>
    <s v="Apr 2024"/>
    <x v="0"/>
  </r>
  <r>
    <n v="10113"/>
    <x v="91"/>
    <s v="South East"/>
    <x v="3"/>
    <s v="Keyboard"/>
    <s v="Accessories"/>
    <n v="12"/>
    <n v="45"/>
    <n v="540"/>
    <s v="Feb 2024"/>
    <x v="2"/>
  </r>
  <r>
    <n v="10114"/>
    <x v="84"/>
    <s v="London"/>
    <x v="1"/>
    <s v="Headset"/>
    <s v="Accessories"/>
    <n v="8"/>
    <n v="75"/>
    <n v="600"/>
    <s v="Aug 2023"/>
    <x v="2"/>
  </r>
  <r>
    <n v="10115"/>
    <x v="102"/>
    <s v="South East"/>
    <x v="2"/>
    <s v="Monitor"/>
    <s v="Electronics"/>
    <n v="7"/>
    <n v="220"/>
    <n v="1540"/>
    <s v="Jun 2023"/>
    <x v="2"/>
  </r>
  <r>
    <n v="10116"/>
    <x v="103"/>
    <s v="North West"/>
    <x v="4"/>
    <s v="Mouse"/>
    <s v="Accessories"/>
    <n v="10"/>
    <n v="30"/>
    <n v="300"/>
    <s v="Jun 2024"/>
    <x v="0"/>
  </r>
  <r>
    <n v="10117"/>
    <x v="104"/>
    <s v="North West"/>
    <x v="3"/>
    <s v="Monitor"/>
    <s v="Electronics"/>
    <n v="10"/>
    <n v="220"/>
    <n v="2200"/>
    <s v="Feb 2023"/>
    <x v="1"/>
  </r>
  <r>
    <n v="10118"/>
    <x v="105"/>
    <s v="Scotland"/>
    <x v="0"/>
    <s v="Docking Station"/>
    <s v="Accessories"/>
    <n v="2"/>
    <n v="180"/>
    <n v="360"/>
    <s v="Jun 2024"/>
    <x v="0"/>
  </r>
  <r>
    <n v="10119"/>
    <x v="106"/>
    <s v="Scotland"/>
    <x v="3"/>
    <s v="Laptop"/>
    <s v="Electronics"/>
    <n v="6"/>
    <n v="850"/>
    <n v="5100"/>
    <s v="Jun 2023"/>
    <x v="1"/>
  </r>
  <r>
    <n v="10120"/>
    <x v="107"/>
    <s v="North West"/>
    <x v="0"/>
    <s v="Laptop"/>
    <s v="Electronics"/>
    <n v="6"/>
    <n v="850"/>
    <n v="5100"/>
    <s v="Aug 2023"/>
    <x v="1"/>
  </r>
  <r>
    <n v="10121"/>
    <x v="108"/>
    <s v="North West"/>
    <x v="1"/>
    <s v="Mouse"/>
    <s v="Accessories"/>
    <n v="3"/>
    <n v="30"/>
    <n v="90"/>
    <s v="Mar 2023"/>
    <x v="0"/>
  </r>
  <r>
    <n v="10122"/>
    <x v="85"/>
    <s v="North West"/>
    <x v="2"/>
    <s v="Laptop"/>
    <s v="Electronics"/>
    <n v="11"/>
    <n v="850"/>
    <n v="9350"/>
    <s v="Jan 2023"/>
    <x v="1"/>
  </r>
  <r>
    <n v="10123"/>
    <x v="42"/>
    <s v="South East"/>
    <x v="1"/>
    <s v="Laptop"/>
    <s v="Electronics"/>
    <n v="2"/>
    <n v="850"/>
    <n v="1700"/>
    <s v="Dec 2023"/>
    <x v="2"/>
  </r>
  <r>
    <n v="10124"/>
    <x v="9"/>
    <s v="North West"/>
    <x v="4"/>
    <s v="Mouse"/>
    <s v="Accessories"/>
    <n v="12"/>
    <n v="30"/>
    <n v="360"/>
    <s v="Nov 2023"/>
    <x v="0"/>
  </r>
  <r>
    <n v="10125"/>
    <x v="109"/>
    <s v="Midlands"/>
    <x v="3"/>
    <s v="Headset"/>
    <s v="Accessories"/>
    <n v="1"/>
    <n v="75"/>
    <n v="75"/>
    <s v="May 2024"/>
    <x v="0"/>
  </r>
  <r>
    <n v="10126"/>
    <x v="110"/>
    <s v="London"/>
    <x v="0"/>
    <s v="Headset"/>
    <s v="Accessories"/>
    <n v="6"/>
    <n v="75"/>
    <n v="450"/>
    <s v="Dec 2023"/>
    <x v="0"/>
  </r>
  <r>
    <n v="10127"/>
    <x v="111"/>
    <s v="North West"/>
    <x v="0"/>
    <s v="Mouse"/>
    <s v="Accessories"/>
    <n v="12"/>
    <n v="30"/>
    <n v="360"/>
    <s v="Apr 2024"/>
    <x v="0"/>
  </r>
  <r>
    <n v="10128"/>
    <x v="84"/>
    <s v="London"/>
    <x v="3"/>
    <s v="Docking Station"/>
    <s v="Accessories"/>
    <n v="5"/>
    <n v="180"/>
    <n v="900"/>
    <s v="Aug 2023"/>
    <x v="2"/>
  </r>
  <r>
    <n v="10129"/>
    <x v="31"/>
    <s v="South East"/>
    <x v="3"/>
    <s v="Laptop"/>
    <s v="Electronics"/>
    <n v="14"/>
    <n v="850"/>
    <n v="11900"/>
    <s v="Jul 2023"/>
    <x v="1"/>
  </r>
  <r>
    <n v="10130"/>
    <x v="112"/>
    <s v="London"/>
    <x v="4"/>
    <s v="Laptop"/>
    <s v="Electronics"/>
    <n v="14"/>
    <n v="850"/>
    <n v="11900"/>
    <s v="Aug 2023"/>
    <x v="1"/>
  </r>
  <r>
    <n v="10131"/>
    <x v="113"/>
    <s v="South East"/>
    <x v="1"/>
    <s v="Docking Station"/>
    <s v="Accessories"/>
    <n v="11"/>
    <n v="180"/>
    <n v="1980"/>
    <s v="Jan 2024"/>
    <x v="2"/>
  </r>
  <r>
    <n v="10132"/>
    <x v="114"/>
    <s v="Midlands"/>
    <x v="0"/>
    <s v="Headset"/>
    <s v="Accessories"/>
    <n v="9"/>
    <n v="75"/>
    <n v="675"/>
    <s v="Jan 2024"/>
    <x v="2"/>
  </r>
  <r>
    <n v="10133"/>
    <x v="115"/>
    <s v="South East"/>
    <x v="4"/>
    <s v="Keyboard"/>
    <s v="Accessories"/>
    <n v="1"/>
    <n v="45"/>
    <n v="45"/>
    <s v="Oct 2023"/>
    <x v="0"/>
  </r>
  <r>
    <n v="10134"/>
    <x v="116"/>
    <s v="South East"/>
    <x v="1"/>
    <s v="Keyboard"/>
    <s v="Accessories"/>
    <n v="7"/>
    <n v="45"/>
    <n v="315"/>
    <s v="Sep 2023"/>
    <x v="0"/>
  </r>
  <r>
    <n v="10135"/>
    <x v="117"/>
    <s v="Scotland"/>
    <x v="4"/>
    <s v="Keyboard"/>
    <s v="Accessories"/>
    <n v="5"/>
    <n v="45"/>
    <n v="225"/>
    <s v="Dec 2023"/>
    <x v="0"/>
  </r>
  <r>
    <n v="10136"/>
    <x v="59"/>
    <s v="North West"/>
    <x v="0"/>
    <s v="Headset"/>
    <s v="Accessories"/>
    <n v="5"/>
    <n v="75"/>
    <n v="375"/>
    <s v="Mar 2024"/>
    <x v="0"/>
  </r>
  <r>
    <n v="10137"/>
    <x v="118"/>
    <s v="North West"/>
    <x v="3"/>
    <s v="Headset"/>
    <s v="Accessories"/>
    <n v="14"/>
    <n v="75"/>
    <n v="1050"/>
    <s v="Feb 2024"/>
    <x v="2"/>
  </r>
  <r>
    <n v="10138"/>
    <x v="119"/>
    <s v="Midlands"/>
    <x v="3"/>
    <s v="Docking Station"/>
    <s v="Accessories"/>
    <n v="2"/>
    <n v="180"/>
    <n v="360"/>
    <s v="Nov 2023"/>
    <x v="0"/>
  </r>
  <r>
    <n v="10139"/>
    <x v="112"/>
    <s v="Midlands"/>
    <x v="1"/>
    <s v="Laptop"/>
    <s v="Electronics"/>
    <n v="11"/>
    <n v="850"/>
    <n v="9350"/>
    <s v="Aug 2023"/>
    <x v="1"/>
  </r>
  <r>
    <n v="10140"/>
    <x v="120"/>
    <s v="North West"/>
    <x v="2"/>
    <s v="Docking Station"/>
    <s v="Accessories"/>
    <n v="3"/>
    <n v="180"/>
    <n v="540"/>
    <s v="Aug 2023"/>
    <x v="2"/>
  </r>
  <r>
    <n v="10141"/>
    <x v="121"/>
    <s v="Scotland"/>
    <x v="1"/>
    <s v="Docking Station"/>
    <s v="Accessories"/>
    <n v="7"/>
    <n v="180"/>
    <n v="1260"/>
    <s v="Jan 2024"/>
    <x v="2"/>
  </r>
  <r>
    <n v="10142"/>
    <x v="75"/>
    <s v="North West"/>
    <x v="2"/>
    <s v="Headset"/>
    <s v="Accessories"/>
    <n v="6"/>
    <n v="75"/>
    <n v="450"/>
    <s v="Apr 2024"/>
    <x v="0"/>
  </r>
  <r>
    <n v="10143"/>
    <x v="122"/>
    <s v="Scotland"/>
    <x v="4"/>
    <s v="Keyboard"/>
    <s v="Accessories"/>
    <n v="12"/>
    <n v="45"/>
    <n v="540"/>
    <s v="Aug 2023"/>
    <x v="2"/>
  </r>
  <r>
    <n v="10144"/>
    <x v="123"/>
    <s v="Midlands"/>
    <x v="4"/>
    <s v="Monitor"/>
    <s v="Electronics"/>
    <n v="2"/>
    <n v="220"/>
    <n v="440"/>
    <s v="Apr 2023"/>
    <x v="0"/>
  </r>
  <r>
    <n v="10145"/>
    <x v="124"/>
    <s v="London"/>
    <x v="0"/>
    <s v="Laptop"/>
    <s v="Electronics"/>
    <n v="6"/>
    <n v="850"/>
    <n v="5100"/>
    <s v="May 2024"/>
    <x v="1"/>
  </r>
  <r>
    <n v="10146"/>
    <x v="125"/>
    <s v="Midlands"/>
    <x v="2"/>
    <s v="Headset"/>
    <s v="Accessories"/>
    <n v="2"/>
    <n v="75"/>
    <n v="150"/>
    <s v="Mar 2024"/>
    <x v="0"/>
  </r>
  <r>
    <n v="10147"/>
    <x v="126"/>
    <s v="Midlands"/>
    <x v="0"/>
    <s v="Keyboard"/>
    <s v="Accessories"/>
    <n v="2"/>
    <n v="45"/>
    <n v="90"/>
    <s v="Sep 2023"/>
    <x v="0"/>
  </r>
  <r>
    <n v="10148"/>
    <x v="127"/>
    <s v="South East"/>
    <x v="3"/>
    <s v="Monitor"/>
    <s v="Electronics"/>
    <n v="2"/>
    <n v="220"/>
    <n v="440"/>
    <s v="May 2024"/>
    <x v="0"/>
  </r>
  <r>
    <n v="10149"/>
    <x v="19"/>
    <s v="South East"/>
    <x v="2"/>
    <s v="Monitor"/>
    <s v="Electronics"/>
    <n v="14"/>
    <n v="220"/>
    <n v="3080"/>
    <s v="Jan 2024"/>
    <x v="1"/>
  </r>
  <r>
    <n v="10150"/>
    <x v="128"/>
    <s v="South East"/>
    <x v="1"/>
    <s v="Headset"/>
    <s v="Accessories"/>
    <n v="11"/>
    <n v="75"/>
    <n v="825"/>
    <s v="Jan 2024"/>
    <x v="2"/>
  </r>
  <r>
    <n v="10151"/>
    <x v="123"/>
    <s v="South East"/>
    <x v="3"/>
    <s v="Mouse"/>
    <s v="Accessories"/>
    <n v="3"/>
    <n v="30"/>
    <n v="90"/>
    <s v="Apr 2023"/>
    <x v="0"/>
  </r>
  <r>
    <n v="10152"/>
    <x v="50"/>
    <s v="Scotland"/>
    <x v="3"/>
    <s v="Laptop"/>
    <s v="Electronics"/>
    <n v="2"/>
    <n v="850"/>
    <n v="1700"/>
    <s v="Mar 2023"/>
    <x v="2"/>
  </r>
  <r>
    <n v="10153"/>
    <x v="123"/>
    <s v="North West"/>
    <x v="1"/>
    <s v="Monitor"/>
    <s v="Electronics"/>
    <n v="4"/>
    <n v="220"/>
    <n v="880"/>
    <s v="Apr 2023"/>
    <x v="2"/>
  </r>
  <r>
    <n v="10154"/>
    <x v="51"/>
    <s v="London"/>
    <x v="3"/>
    <s v="Headset"/>
    <s v="Accessories"/>
    <n v="9"/>
    <n v="75"/>
    <n v="675"/>
    <s v="Jan 2023"/>
    <x v="2"/>
  </r>
  <r>
    <n v="10155"/>
    <x v="129"/>
    <s v="Midlands"/>
    <x v="2"/>
    <s v="Headset"/>
    <s v="Accessories"/>
    <n v="6"/>
    <n v="75"/>
    <n v="450"/>
    <s v="Aug 2023"/>
    <x v="0"/>
  </r>
  <r>
    <n v="10156"/>
    <x v="112"/>
    <s v="Scotland"/>
    <x v="0"/>
    <s v="Keyboard"/>
    <s v="Accessories"/>
    <n v="1"/>
    <n v="45"/>
    <n v="45"/>
    <s v="Aug 2023"/>
    <x v="0"/>
  </r>
  <r>
    <n v="10157"/>
    <x v="113"/>
    <s v="London"/>
    <x v="3"/>
    <s v="Mouse"/>
    <s v="Accessories"/>
    <n v="8"/>
    <n v="30"/>
    <n v="240"/>
    <s v="Jan 2024"/>
    <x v="0"/>
  </r>
  <r>
    <n v="10158"/>
    <x v="130"/>
    <s v="Scotland"/>
    <x v="2"/>
    <s v="Laptop"/>
    <s v="Electronics"/>
    <n v="12"/>
    <n v="850"/>
    <n v="10200"/>
    <s v="Feb 2024"/>
    <x v="1"/>
  </r>
  <r>
    <n v="10159"/>
    <x v="131"/>
    <s v="Scotland"/>
    <x v="4"/>
    <s v="Docking Station"/>
    <s v="Accessories"/>
    <n v="14"/>
    <n v="180"/>
    <n v="2520"/>
    <s v="May 2023"/>
    <x v="1"/>
  </r>
  <r>
    <n v="10160"/>
    <x v="64"/>
    <s v="Midlands"/>
    <x v="2"/>
    <s v="Keyboard"/>
    <s v="Accessories"/>
    <n v="7"/>
    <n v="45"/>
    <n v="315"/>
    <s v="Feb 2023"/>
    <x v="0"/>
  </r>
  <r>
    <n v="10161"/>
    <x v="132"/>
    <s v="North West"/>
    <x v="0"/>
    <s v="Monitor"/>
    <s v="Electronics"/>
    <n v="10"/>
    <n v="220"/>
    <n v="2200"/>
    <s v="Feb 2024"/>
    <x v="1"/>
  </r>
  <r>
    <n v="10162"/>
    <x v="133"/>
    <s v="South East"/>
    <x v="2"/>
    <s v="Monitor"/>
    <s v="Electronics"/>
    <n v="3"/>
    <n v="220"/>
    <n v="660"/>
    <s v="Sep 2023"/>
    <x v="2"/>
  </r>
  <r>
    <n v="10163"/>
    <x v="134"/>
    <s v="North West"/>
    <x v="1"/>
    <s v="Keyboard"/>
    <s v="Accessories"/>
    <n v="1"/>
    <n v="45"/>
    <n v="45"/>
    <s v="Mar 2024"/>
    <x v="0"/>
  </r>
  <r>
    <n v="10164"/>
    <x v="135"/>
    <s v="Midlands"/>
    <x v="0"/>
    <s v="Headset"/>
    <s v="Accessories"/>
    <n v="5"/>
    <n v="75"/>
    <n v="375"/>
    <s v="Jul 2023"/>
    <x v="0"/>
  </r>
  <r>
    <n v="10165"/>
    <x v="136"/>
    <s v="Midlands"/>
    <x v="4"/>
    <s v="Monitor"/>
    <s v="Electronics"/>
    <n v="13"/>
    <n v="220"/>
    <n v="2860"/>
    <s v="Jul 2023"/>
    <x v="1"/>
  </r>
  <r>
    <n v="10166"/>
    <x v="137"/>
    <s v="Midlands"/>
    <x v="1"/>
    <s v="Mouse"/>
    <s v="Accessories"/>
    <n v="4"/>
    <n v="30"/>
    <n v="120"/>
    <s v="May 2023"/>
    <x v="0"/>
  </r>
  <r>
    <n v="10167"/>
    <x v="138"/>
    <s v="London"/>
    <x v="2"/>
    <s v="Laptop"/>
    <s v="Electronics"/>
    <n v="10"/>
    <n v="850"/>
    <n v="8500"/>
    <s v="Feb 2024"/>
    <x v="1"/>
  </r>
  <r>
    <n v="10168"/>
    <x v="139"/>
    <s v="North West"/>
    <x v="0"/>
    <s v="Mouse"/>
    <s v="Accessories"/>
    <n v="8"/>
    <n v="30"/>
    <n v="240"/>
    <s v="Oct 2023"/>
    <x v="0"/>
  </r>
  <r>
    <n v="10169"/>
    <x v="140"/>
    <s v="North West"/>
    <x v="4"/>
    <s v="Monitor"/>
    <s v="Electronics"/>
    <n v="1"/>
    <n v="220"/>
    <n v="220"/>
    <s v="Oct 2023"/>
    <x v="0"/>
  </r>
  <r>
    <n v="10170"/>
    <x v="141"/>
    <s v="Scotland"/>
    <x v="1"/>
    <s v="Docking Station"/>
    <s v="Accessories"/>
    <n v="10"/>
    <n v="180"/>
    <n v="1800"/>
    <s v="Jul 2023"/>
    <x v="2"/>
  </r>
  <r>
    <n v="10171"/>
    <x v="29"/>
    <s v="Scotland"/>
    <x v="4"/>
    <s v="Laptop"/>
    <s v="Electronics"/>
    <n v="1"/>
    <n v="850"/>
    <n v="850"/>
    <s v="May 2024"/>
    <x v="2"/>
  </r>
  <r>
    <n v="10172"/>
    <x v="142"/>
    <s v="Scotland"/>
    <x v="2"/>
    <s v="Laptop"/>
    <s v="Electronics"/>
    <n v="12"/>
    <n v="850"/>
    <n v="10200"/>
    <s v="May 2023"/>
    <x v="1"/>
  </r>
  <r>
    <n v="10173"/>
    <x v="87"/>
    <s v="Midlands"/>
    <x v="4"/>
    <s v="Keyboard"/>
    <s v="Accessories"/>
    <n v="4"/>
    <n v="45"/>
    <n v="180"/>
    <s v="Jul 2023"/>
    <x v="0"/>
  </r>
  <r>
    <n v="10174"/>
    <x v="143"/>
    <s v="North West"/>
    <x v="3"/>
    <s v="Keyboard"/>
    <s v="Accessories"/>
    <n v="8"/>
    <n v="45"/>
    <n v="360"/>
    <s v="May 2023"/>
    <x v="0"/>
  </r>
  <r>
    <n v="10175"/>
    <x v="144"/>
    <s v="Midlands"/>
    <x v="1"/>
    <s v="Docking Station"/>
    <s v="Accessories"/>
    <n v="5"/>
    <n v="180"/>
    <n v="900"/>
    <s v="Jul 2023"/>
    <x v="2"/>
  </r>
  <r>
    <n v="10176"/>
    <x v="145"/>
    <s v="London"/>
    <x v="4"/>
    <s v="Headset"/>
    <s v="Accessories"/>
    <n v="2"/>
    <n v="75"/>
    <n v="150"/>
    <s v="Nov 2023"/>
    <x v="0"/>
  </r>
  <r>
    <n v="10177"/>
    <x v="146"/>
    <s v="Scotland"/>
    <x v="2"/>
    <s v="Laptop"/>
    <s v="Electronics"/>
    <n v="6"/>
    <n v="850"/>
    <n v="5100"/>
    <s v="Apr 2024"/>
    <x v="1"/>
  </r>
  <r>
    <n v="10178"/>
    <x v="147"/>
    <s v="Midlands"/>
    <x v="2"/>
    <s v="Docking Station"/>
    <s v="Accessories"/>
    <n v="5"/>
    <n v="180"/>
    <n v="900"/>
    <s v="Dec 2023"/>
    <x v="2"/>
  </r>
  <r>
    <n v="10179"/>
    <x v="130"/>
    <s v="Midlands"/>
    <x v="4"/>
    <s v="Keyboard"/>
    <s v="Accessories"/>
    <n v="2"/>
    <n v="45"/>
    <n v="90"/>
    <s v="Feb 2024"/>
    <x v="0"/>
  </r>
  <r>
    <n v="10180"/>
    <x v="41"/>
    <s v="London"/>
    <x v="2"/>
    <s v="Keyboard"/>
    <s v="Accessories"/>
    <n v="13"/>
    <n v="45"/>
    <n v="585"/>
    <s v="Dec 2023"/>
    <x v="2"/>
  </r>
  <r>
    <n v="10181"/>
    <x v="29"/>
    <s v="South East"/>
    <x v="0"/>
    <s v="Laptop"/>
    <s v="Electronics"/>
    <n v="14"/>
    <n v="850"/>
    <n v="11900"/>
    <s v="May 2024"/>
    <x v="1"/>
  </r>
  <r>
    <n v="10182"/>
    <x v="148"/>
    <s v="North West"/>
    <x v="0"/>
    <s v="Mouse"/>
    <s v="Accessories"/>
    <n v="11"/>
    <n v="30"/>
    <n v="330"/>
    <s v="May 2023"/>
    <x v="0"/>
  </r>
  <r>
    <n v="10183"/>
    <x v="149"/>
    <s v="South East"/>
    <x v="0"/>
    <s v="Monitor"/>
    <s v="Electronics"/>
    <n v="11"/>
    <n v="220"/>
    <n v="2420"/>
    <s v="May 2023"/>
    <x v="1"/>
  </r>
  <r>
    <n v="10184"/>
    <x v="150"/>
    <s v="Scotland"/>
    <x v="3"/>
    <s v="Keyboard"/>
    <s v="Accessories"/>
    <n v="11"/>
    <n v="45"/>
    <n v="495"/>
    <s v="May 2024"/>
    <x v="0"/>
  </r>
  <r>
    <n v="10185"/>
    <x v="63"/>
    <s v="Midlands"/>
    <x v="4"/>
    <s v="Headset"/>
    <s v="Accessories"/>
    <n v="3"/>
    <n v="75"/>
    <n v="225"/>
    <s v="Dec 2023"/>
    <x v="0"/>
  </r>
  <r>
    <n v="10186"/>
    <x v="111"/>
    <s v="London"/>
    <x v="3"/>
    <s v="Headset"/>
    <s v="Accessories"/>
    <n v="9"/>
    <n v="75"/>
    <n v="675"/>
    <s v="Apr 2024"/>
    <x v="2"/>
  </r>
  <r>
    <n v="10187"/>
    <x v="151"/>
    <s v="London"/>
    <x v="2"/>
    <s v="Keyboard"/>
    <s v="Accessories"/>
    <n v="7"/>
    <n v="45"/>
    <n v="315"/>
    <s v="May 2023"/>
    <x v="0"/>
  </r>
  <r>
    <n v="10188"/>
    <x v="152"/>
    <s v="North West"/>
    <x v="3"/>
    <s v="Mouse"/>
    <s v="Accessories"/>
    <n v="7"/>
    <n v="30"/>
    <n v="210"/>
    <s v="Feb 2024"/>
    <x v="0"/>
  </r>
  <r>
    <n v="10189"/>
    <x v="153"/>
    <s v="South East"/>
    <x v="2"/>
    <s v="Mouse"/>
    <s v="Accessories"/>
    <n v="11"/>
    <n v="30"/>
    <n v="330"/>
    <s v="Oct 2023"/>
    <x v="0"/>
  </r>
  <r>
    <n v="10190"/>
    <x v="154"/>
    <s v="North West"/>
    <x v="2"/>
    <s v="Docking Station"/>
    <s v="Accessories"/>
    <n v="6"/>
    <n v="180"/>
    <n v="1080"/>
    <s v="Sep 2023"/>
    <x v="2"/>
  </r>
  <r>
    <n v="10191"/>
    <x v="142"/>
    <s v="Midlands"/>
    <x v="1"/>
    <s v="Headset"/>
    <s v="Accessories"/>
    <n v="8"/>
    <n v="75"/>
    <n v="600"/>
    <s v="May 2023"/>
    <x v="2"/>
  </r>
  <r>
    <n v="10192"/>
    <x v="41"/>
    <s v="North West"/>
    <x v="0"/>
    <s v="Docking Station"/>
    <s v="Accessories"/>
    <n v="4"/>
    <n v="180"/>
    <n v="720"/>
    <s v="Dec 2023"/>
    <x v="2"/>
  </r>
  <r>
    <n v="10193"/>
    <x v="51"/>
    <s v="London"/>
    <x v="2"/>
    <s v="Headset"/>
    <s v="Accessories"/>
    <n v="8"/>
    <n v="75"/>
    <n v="600"/>
    <s v="Jan 2023"/>
    <x v="2"/>
  </r>
  <r>
    <n v="10194"/>
    <x v="155"/>
    <s v="London"/>
    <x v="1"/>
    <s v="Monitor"/>
    <s v="Electronics"/>
    <n v="4"/>
    <n v="220"/>
    <n v="880"/>
    <s v="Oct 2023"/>
    <x v="2"/>
  </r>
  <r>
    <n v="10195"/>
    <x v="156"/>
    <s v="Scotland"/>
    <x v="0"/>
    <s v="Monitor"/>
    <s v="Electronics"/>
    <n v="8"/>
    <n v="220"/>
    <n v="1760"/>
    <s v="Sep 2023"/>
    <x v="2"/>
  </r>
  <r>
    <n v="10196"/>
    <x v="157"/>
    <s v="Scotland"/>
    <x v="2"/>
    <s v="Laptop"/>
    <s v="Electronics"/>
    <n v="9"/>
    <n v="850"/>
    <n v="7650"/>
    <s v="Mar 2024"/>
    <x v="1"/>
  </r>
  <r>
    <n v="10197"/>
    <x v="158"/>
    <s v="Midlands"/>
    <x v="2"/>
    <s v="Docking Station"/>
    <s v="Accessories"/>
    <n v="3"/>
    <n v="180"/>
    <n v="540"/>
    <s v="Feb 2023"/>
    <x v="2"/>
  </r>
  <r>
    <n v="10198"/>
    <x v="106"/>
    <s v="South East"/>
    <x v="3"/>
    <s v="Keyboard"/>
    <s v="Accessories"/>
    <n v="3"/>
    <n v="45"/>
    <n v="135"/>
    <s v="Jun 2023"/>
    <x v="0"/>
  </r>
  <r>
    <n v="10199"/>
    <x v="159"/>
    <s v="North West"/>
    <x v="3"/>
    <s v="Docking Station"/>
    <s v="Accessories"/>
    <n v="11"/>
    <n v="180"/>
    <n v="1980"/>
    <s v="Jan 2023"/>
    <x v="2"/>
  </r>
  <r>
    <n v="10200"/>
    <x v="122"/>
    <s v="Midlands"/>
    <x v="0"/>
    <s v="Keyboard"/>
    <s v="Accessories"/>
    <n v="13"/>
    <n v="45"/>
    <n v="585"/>
    <s v="Aug 2023"/>
    <x v="2"/>
  </r>
  <r>
    <n v="10201"/>
    <x v="92"/>
    <s v="Scotland"/>
    <x v="2"/>
    <s v="Mouse"/>
    <s v="Accessories"/>
    <n v="2"/>
    <n v="30"/>
    <n v="60"/>
    <s v="Apr 2023"/>
    <x v="0"/>
  </r>
  <r>
    <n v="10202"/>
    <x v="160"/>
    <s v="North West"/>
    <x v="4"/>
    <s v="Docking Station"/>
    <s v="Accessories"/>
    <n v="13"/>
    <n v="180"/>
    <n v="2340"/>
    <s v="Jul 2023"/>
    <x v="1"/>
  </r>
  <r>
    <n v="10203"/>
    <x v="14"/>
    <s v="Scotland"/>
    <x v="3"/>
    <s v="Mouse"/>
    <s v="Accessories"/>
    <n v="10"/>
    <n v="30"/>
    <n v="300"/>
    <s v="May 2023"/>
    <x v="0"/>
  </r>
  <r>
    <n v="10204"/>
    <x v="161"/>
    <s v="North West"/>
    <x v="0"/>
    <s v="Monitor"/>
    <s v="Electronics"/>
    <n v="3"/>
    <n v="220"/>
    <n v="660"/>
    <s v="Feb 2024"/>
    <x v="2"/>
  </r>
  <r>
    <n v="10205"/>
    <x v="162"/>
    <s v="South East"/>
    <x v="2"/>
    <s v="Monitor"/>
    <s v="Electronics"/>
    <n v="3"/>
    <n v="220"/>
    <n v="660"/>
    <s v="Jun 2023"/>
    <x v="2"/>
  </r>
  <r>
    <n v="10206"/>
    <x v="163"/>
    <s v="Midlands"/>
    <x v="2"/>
    <s v="Laptop"/>
    <s v="Electronics"/>
    <n v="5"/>
    <n v="850"/>
    <n v="4250"/>
    <s v="Feb 2023"/>
    <x v="1"/>
  </r>
  <r>
    <n v="10207"/>
    <x v="164"/>
    <s v="North West"/>
    <x v="4"/>
    <s v="Docking Station"/>
    <s v="Accessories"/>
    <n v="5"/>
    <n v="180"/>
    <n v="900"/>
    <s v="Apr 2023"/>
    <x v="2"/>
  </r>
  <r>
    <n v="10208"/>
    <x v="165"/>
    <s v="London"/>
    <x v="0"/>
    <s v="Mouse"/>
    <s v="Accessories"/>
    <n v="2"/>
    <n v="30"/>
    <n v="60"/>
    <s v="Feb 2024"/>
    <x v="0"/>
  </r>
  <r>
    <n v="10209"/>
    <x v="166"/>
    <s v="London"/>
    <x v="2"/>
    <s v="Keyboard"/>
    <s v="Accessories"/>
    <n v="12"/>
    <n v="45"/>
    <n v="540"/>
    <s v="Feb 2024"/>
    <x v="2"/>
  </r>
  <r>
    <n v="10210"/>
    <x v="167"/>
    <s v="North West"/>
    <x v="3"/>
    <s v="Monitor"/>
    <s v="Electronics"/>
    <n v="10"/>
    <n v="220"/>
    <n v="2200"/>
    <s v="Apr 2023"/>
    <x v="1"/>
  </r>
  <r>
    <n v="10211"/>
    <x v="156"/>
    <s v="North West"/>
    <x v="4"/>
    <s v="Monitor"/>
    <s v="Electronics"/>
    <n v="13"/>
    <n v="220"/>
    <n v="2860"/>
    <s v="Sep 2023"/>
    <x v="1"/>
  </r>
  <r>
    <n v="10212"/>
    <x v="168"/>
    <s v="North West"/>
    <x v="0"/>
    <s v="Keyboard"/>
    <s v="Accessories"/>
    <n v="6"/>
    <n v="45"/>
    <n v="270"/>
    <s v="Aug 2023"/>
    <x v="0"/>
  </r>
  <r>
    <n v="10213"/>
    <x v="169"/>
    <s v="London"/>
    <x v="4"/>
    <s v="Mouse"/>
    <s v="Accessories"/>
    <n v="5"/>
    <n v="30"/>
    <n v="150"/>
    <s v="Apr 2023"/>
    <x v="0"/>
  </r>
  <r>
    <n v="10214"/>
    <x v="127"/>
    <s v="London"/>
    <x v="3"/>
    <s v="Mouse"/>
    <s v="Accessories"/>
    <n v="6"/>
    <n v="30"/>
    <n v="180"/>
    <s v="May 2024"/>
    <x v="0"/>
  </r>
  <r>
    <n v="10215"/>
    <x v="111"/>
    <s v="North West"/>
    <x v="0"/>
    <s v="Docking Station"/>
    <s v="Accessories"/>
    <n v="1"/>
    <n v="180"/>
    <n v="180"/>
    <s v="Apr 2024"/>
    <x v="0"/>
  </r>
  <r>
    <n v="10216"/>
    <x v="92"/>
    <s v="Scotland"/>
    <x v="4"/>
    <s v="Docking Station"/>
    <s v="Accessories"/>
    <n v="5"/>
    <n v="180"/>
    <n v="900"/>
    <s v="Apr 2023"/>
    <x v="2"/>
  </r>
  <r>
    <n v="10217"/>
    <x v="170"/>
    <s v="Scotland"/>
    <x v="1"/>
    <s v="Headset"/>
    <s v="Accessories"/>
    <n v="9"/>
    <n v="75"/>
    <n v="675"/>
    <s v="Jun 2023"/>
    <x v="2"/>
  </r>
  <r>
    <n v="10218"/>
    <x v="63"/>
    <s v="South East"/>
    <x v="3"/>
    <s v="Headset"/>
    <s v="Accessories"/>
    <n v="12"/>
    <n v="75"/>
    <n v="900"/>
    <s v="Dec 2023"/>
    <x v="2"/>
  </r>
  <r>
    <n v="10219"/>
    <x v="171"/>
    <s v="Midlands"/>
    <x v="3"/>
    <s v="Laptop"/>
    <s v="Electronics"/>
    <n v="10"/>
    <n v="850"/>
    <n v="8500"/>
    <s v="Jun 2023"/>
    <x v="1"/>
  </r>
  <r>
    <n v="10220"/>
    <x v="22"/>
    <s v="Scotland"/>
    <x v="3"/>
    <s v="Monitor"/>
    <s v="Electronics"/>
    <n v="14"/>
    <n v="220"/>
    <n v="3080"/>
    <s v="Jun 2023"/>
    <x v="1"/>
  </r>
  <r>
    <n v="10221"/>
    <x v="96"/>
    <s v="London"/>
    <x v="1"/>
    <s v="Docking Station"/>
    <s v="Accessories"/>
    <n v="2"/>
    <n v="180"/>
    <n v="360"/>
    <s v="Feb 2024"/>
    <x v="0"/>
  </r>
  <r>
    <n v="10222"/>
    <x v="21"/>
    <s v="Scotland"/>
    <x v="1"/>
    <s v="Mouse"/>
    <s v="Accessories"/>
    <n v="1"/>
    <n v="30"/>
    <n v="30"/>
    <s v="Oct 2023"/>
    <x v="0"/>
  </r>
  <r>
    <n v="10223"/>
    <x v="172"/>
    <s v="South East"/>
    <x v="2"/>
    <s v="Keyboard"/>
    <s v="Accessories"/>
    <n v="14"/>
    <n v="45"/>
    <n v="630"/>
    <s v="May 2024"/>
    <x v="2"/>
  </r>
  <r>
    <n v="10224"/>
    <x v="79"/>
    <s v="South East"/>
    <x v="4"/>
    <s v="Mouse"/>
    <s v="Accessories"/>
    <n v="10"/>
    <n v="30"/>
    <n v="300"/>
    <s v="Jan 2024"/>
    <x v="0"/>
  </r>
  <r>
    <n v="10225"/>
    <x v="86"/>
    <s v="Midlands"/>
    <x v="2"/>
    <s v="Monitor"/>
    <s v="Electronics"/>
    <n v="13"/>
    <n v="220"/>
    <n v="2860"/>
    <s v="May 2023"/>
    <x v="1"/>
  </r>
  <r>
    <n v="10226"/>
    <x v="173"/>
    <s v="Scotland"/>
    <x v="4"/>
    <s v="Headset"/>
    <s v="Accessories"/>
    <n v="11"/>
    <n v="75"/>
    <n v="825"/>
    <s v="Jul 2023"/>
    <x v="2"/>
  </r>
  <r>
    <n v="10227"/>
    <x v="138"/>
    <s v="London"/>
    <x v="1"/>
    <s v="Mouse"/>
    <s v="Accessories"/>
    <n v="9"/>
    <n v="30"/>
    <n v="270"/>
    <s v="Feb 2024"/>
    <x v="0"/>
  </r>
  <r>
    <n v="10228"/>
    <x v="88"/>
    <s v="London"/>
    <x v="1"/>
    <s v="Laptop"/>
    <s v="Electronics"/>
    <n v="10"/>
    <n v="850"/>
    <n v="8500"/>
    <s v="Feb 2023"/>
    <x v="1"/>
  </r>
  <r>
    <n v="10229"/>
    <x v="23"/>
    <s v="North West"/>
    <x v="2"/>
    <s v="Monitor"/>
    <s v="Electronics"/>
    <n v="9"/>
    <n v="220"/>
    <n v="1980"/>
    <s v="Apr 2024"/>
    <x v="2"/>
  </r>
  <r>
    <n v="10230"/>
    <x v="174"/>
    <s v="London"/>
    <x v="0"/>
    <s v="Headset"/>
    <s v="Accessories"/>
    <n v="9"/>
    <n v="75"/>
    <n v="675"/>
    <s v="Apr 2024"/>
    <x v="2"/>
  </r>
  <r>
    <n v="10231"/>
    <x v="175"/>
    <s v="Midlands"/>
    <x v="2"/>
    <s v="Keyboard"/>
    <s v="Accessories"/>
    <n v="6"/>
    <n v="45"/>
    <n v="270"/>
    <s v="Jan 2024"/>
    <x v="0"/>
  </r>
  <r>
    <n v="10232"/>
    <x v="25"/>
    <s v="Midlands"/>
    <x v="4"/>
    <s v="Headset"/>
    <s v="Accessories"/>
    <n v="8"/>
    <n v="75"/>
    <n v="600"/>
    <s v="Jan 2023"/>
    <x v="2"/>
  </r>
  <r>
    <n v="10233"/>
    <x v="176"/>
    <s v="London"/>
    <x v="2"/>
    <s v="Laptop"/>
    <s v="Electronics"/>
    <n v="14"/>
    <n v="850"/>
    <n v="11900"/>
    <s v="Feb 2023"/>
    <x v="1"/>
  </r>
  <r>
    <n v="10234"/>
    <x v="177"/>
    <s v="London"/>
    <x v="3"/>
    <s v="Monitor"/>
    <s v="Electronics"/>
    <n v="11"/>
    <n v="220"/>
    <n v="2420"/>
    <s v="Aug 2023"/>
    <x v="1"/>
  </r>
  <r>
    <n v="10235"/>
    <x v="178"/>
    <s v="North West"/>
    <x v="4"/>
    <s v="Keyboard"/>
    <s v="Accessories"/>
    <n v="13"/>
    <n v="45"/>
    <n v="585"/>
    <s v="Dec 2023"/>
    <x v="2"/>
  </r>
  <r>
    <n v="10236"/>
    <x v="179"/>
    <s v="London"/>
    <x v="4"/>
    <s v="Laptop"/>
    <s v="Electronics"/>
    <n v="1"/>
    <n v="850"/>
    <n v="850"/>
    <s v="Mar 2024"/>
    <x v="2"/>
  </r>
  <r>
    <n v="10237"/>
    <x v="115"/>
    <s v="North West"/>
    <x v="0"/>
    <s v="Headset"/>
    <s v="Accessories"/>
    <n v="10"/>
    <n v="75"/>
    <n v="750"/>
    <s v="Oct 2023"/>
    <x v="2"/>
  </r>
  <r>
    <n v="10238"/>
    <x v="180"/>
    <s v="North West"/>
    <x v="1"/>
    <s v="Laptop"/>
    <s v="Electronics"/>
    <n v="4"/>
    <n v="850"/>
    <n v="3400"/>
    <s v="Jan 2023"/>
    <x v="1"/>
  </r>
  <r>
    <n v="10239"/>
    <x v="181"/>
    <s v="London"/>
    <x v="4"/>
    <s v="Monitor"/>
    <s v="Electronics"/>
    <n v="1"/>
    <n v="220"/>
    <n v="220"/>
    <s v="Aug 2023"/>
    <x v="0"/>
  </r>
  <r>
    <n v="10240"/>
    <x v="21"/>
    <s v="South East"/>
    <x v="1"/>
    <s v="Docking Station"/>
    <s v="Accessories"/>
    <n v="8"/>
    <n v="180"/>
    <n v="1440"/>
    <s v="Oct 2023"/>
    <x v="2"/>
  </r>
  <r>
    <n v="10241"/>
    <x v="182"/>
    <s v="South East"/>
    <x v="2"/>
    <s v="Laptop"/>
    <s v="Electronics"/>
    <n v="1"/>
    <n v="850"/>
    <n v="850"/>
    <s v="Oct 2023"/>
    <x v="2"/>
  </r>
  <r>
    <n v="10242"/>
    <x v="183"/>
    <s v="North West"/>
    <x v="3"/>
    <s v="Laptop"/>
    <s v="Electronics"/>
    <n v="3"/>
    <n v="850"/>
    <n v="2550"/>
    <s v="Apr 2024"/>
    <x v="1"/>
  </r>
  <r>
    <n v="10243"/>
    <x v="157"/>
    <s v="London"/>
    <x v="0"/>
    <s v="Headset"/>
    <s v="Accessories"/>
    <n v="13"/>
    <n v="75"/>
    <n v="975"/>
    <s v="Mar 2024"/>
    <x v="2"/>
  </r>
  <r>
    <n v="10244"/>
    <x v="184"/>
    <s v="South East"/>
    <x v="1"/>
    <s v="Headset"/>
    <s v="Accessories"/>
    <n v="4"/>
    <n v="75"/>
    <n v="300"/>
    <s v="May 2024"/>
    <x v="0"/>
  </r>
  <r>
    <n v="10245"/>
    <x v="93"/>
    <s v="London"/>
    <x v="4"/>
    <s v="Keyboard"/>
    <s v="Accessories"/>
    <n v="8"/>
    <n v="45"/>
    <n v="360"/>
    <s v="Jun 2024"/>
    <x v="0"/>
  </r>
  <r>
    <n v="10246"/>
    <x v="20"/>
    <s v="London"/>
    <x v="1"/>
    <s v="Headset"/>
    <s v="Accessories"/>
    <n v="6"/>
    <n v="75"/>
    <n v="450"/>
    <s v="Jul 2023"/>
    <x v="0"/>
  </r>
  <r>
    <n v="10247"/>
    <x v="185"/>
    <s v="London"/>
    <x v="4"/>
    <s v="Mouse"/>
    <s v="Accessories"/>
    <n v="14"/>
    <n v="30"/>
    <n v="420"/>
    <s v="Feb 2023"/>
    <x v="0"/>
  </r>
  <r>
    <n v="10248"/>
    <x v="186"/>
    <s v="Scotland"/>
    <x v="1"/>
    <s v="Monitor"/>
    <s v="Electronics"/>
    <n v="10"/>
    <n v="220"/>
    <n v="2200"/>
    <s v="May 2024"/>
    <x v="1"/>
  </r>
  <r>
    <n v="10249"/>
    <x v="187"/>
    <s v="London"/>
    <x v="4"/>
    <s v="Monitor"/>
    <s v="Electronics"/>
    <n v="12"/>
    <n v="220"/>
    <n v="2640"/>
    <s v="Jan 2023"/>
    <x v="1"/>
  </r>
  <r>
    <n v="10250"/>
    <x v="188"/>
    <s v="Scotland"/>
    <x v="2"/>
    <s v="Docking Station"/>
    <s v="Accessories"/>
    <n v="7"/>
    <n v="180"/>
    <n v="1260"/>
    <s v="Jun 2023"/>
    <x v="2"/>
  </r>
  <r>
    <n v="10251"/>
    <x v="129"/>
    <s v="North West"/>
    <x v="4"/>
    <s v="Docking Station"/>
    <s v="Accessories"/>
    <n v="14"/>
    <n v="180"/>
    <n v="2520"/>
    <s v="Aug 2023"/>
    <x v="1"/>
  </r>
  <r>
    <n v="10252"/>
    <x v="189"/>
    <s v="South East"/>
    <x v="4"/>
    <s v="Monitor"/>
    <s v="Electronics"/>
    <n v="8"/>
    <n v="220"/>
    <n v="1760"/>
    <s v="Jun 2023"/>
    <x v="2"/>
  </r>
  <r>
    <n v="10253"/>
    <x v="54"/>
    <s v="South East"/>
    <x v="3"/>
    <s v="Docking Station"/>
    <s v="Accessories"/>
    <n v="2"/>
    <n v="180"/>
    <n v="360"/>
    <s v="Apr 2024"/>
    <x v="0"/>
  </r>
  <r>
    <n v="10254"/>
    <x v="190"/>
    <s v="South East"/>
    <x v="4"/>
    <s v="Keyboard"/>
    <s v="Accessories"/>
    <n v="13"/>
    <n v="45"/>
    <n v="585"/>
    <s v="Feb 2023"/>
    <x v="2"/>
  </r>
  <r>
    <n v="10255"/>
    <x v="12"/>
    <s v="South East"/>
    <x v="3"/>
    <s v="Headset"/>
    <s v="Accessories"/>
    <n v="10"/>
    <n v="75"/>
    <n v="750"/>
    <s v="Jan 2024"/>
    <x v="2"/>
  </r>
  <r>
    <n v="10256"/>
    <x v="191"/>
    <s v="South East"/>
    <x v="0"/>
    <s v="Monitor"/>
    <s v="Electronics"/>
    <n v="14"/>
    <n v="220"/>
    <n v="3080"/>
    <s v="Jun 2024"/>
    <x v="1"/>
  </r>
  <r>
    <n v="10257"/>
    <x v="92"/>
    <s v="South East"/>
    <x v="3"/>
    <s v="Docking Station"/>
    <s v="Accessories"/>
    <n v="11"/>
    <n v="180"/>
    <n v="1980"/>
    <s v="Apr 2023"/>
    <x v="2"/>
  </r>
  <r>
    <n v="10258"/>
    <x v="158"/>
    <s v="South East"/>
    <x v="2"/>
    <s v="Monitor"/>
    <s v="Electronics"/>
    <n v="8"/>
    <n v="220"/>
    <n v="1760"/>
    <s v="Feb 2023"/>
    <x v="2"/>
  </r>
  <r>
    <n v="10259"/>
    <x v="140"/>
    <s v="North West"/>
    <x v="3"/>
    <s v="Mouse"/>
    <s v="Accessories"/>
    <n v="3"/>
    <n v="30"/>
    <n v="90"/>
    <s v="Oct 2023"/>
    <x v="0"/>
  </r>
  <r>
    <n v="10260"/>
    <x v="147"/>
    <s v="London"/>
    <x v="0"/>
    <s v="Laptop"/>
    <s v="Electronics"/>
    <n v="7"/>
    <n v="850"/>
    <n v="5950"/>
    <s v="Dec 2023"/>
    <x v="1"/>
  </r>
  <r>
    <n v="10261"/>
    <x v="124"/>
    <s v="Midlands"/>
    <x v="2"/>
    <s v="Headset"/>
    <s v="Accessories"/>
    <n v="3"/>
    <n v="75"/>
    <n v="225"/>
    <s v="May 2024"/>
    <x v="0"/>
  </r>
  <r>
    <n v="10262"/>
    <x v="192"/>
    <s v="Scotland"/>
    <x v="1"/>
    <s v="Monitor"/>
    <s v="Electronics"/>
    <n v="7"/>
    <n v="220"/>
    <n v="1540"/>
    <s v="Oct 2023"/>
    <x v="2"/>
  </r>
  <r>
    <n v="10263"/>
    <x v="193"/>
    <s v="Midlands"/>
    <x v="1"/>
    <s v="Laptop"/>
    <s v="Electronics"/>
    <n v="14"/>
    <n v="850"/>
    <n v="11900"/>
    <s v="Jun 2023"/>
    <x v="1"/>
  </r>
  <r>
    <n v="10264"/>
    <x v="92"/>
    <s v="Midlands"/>
    <x v="3"/>
    <s v="Docking Station"/>
    <s v="Accessories"/>
    <n v="11"/>
    <n v="180"/>
    <n v="1980"/>
    <s v="Apr 2023"/>
    <x v="2"/>
  </r>
  <r>
    <n v="10265"/>
    <x v="194"/>
    <s v="London"/>
    <x v="3"/>
    <s v="Laptop"/>
    <s v="Electronics"/>
    <n v="12"/>
    <n v="850"/>
    <n v="10200"/>
    <s v="Apr 2023"/>
    <x v="1"/>
  </r>
  <r>
    <n v="10266"/>
    <x v="195"/>
    <s v="London"/>
    <x v="0"/>
    <s v="Headset"/>
    <s v="Accessories"/>
    <n v="13"/>
    <n v="75"/>
    <n v="975"/>
    <s v="Jul 2023"/>
    <x v="2"/>
  </r>
  <r>
    <n v="10267"/>
    <x v="26"/>
    <s v="London"/>
    <x v="0"/>
    <s v="Monitor"/>
    <s v="Electronics"/>
    <n v="2"/>
    <n v="220"/>
    <n v="440"/>
    <s v="Sep 2023"/>
    <x v="0"/>
  </r>
  <r>
    <n v="10268"/>
    <x v="22"/>
    <s v="South East"/>
    <x v="4"/>
    <s v="Mouse"/>
    <s v="Accessories"/>
    <n v="10"/>
    <n v="30"/>
    <n v="300"/>
    <s v="Jun 2023"/>
    <x v="0"/>
  </r>
  <r>
    <n v="10269"/>
    <x v="196"/>
    <s v="North West"/>
    <x v="0"/>
    <s v="Docking Station"/>
    <s v="Accessories"/>
    <n v="6"/>
    <n v="180"/>
    <n v="1080"/>
    <s v="Sep 2023"/>
    <x v="2"/>
  </r>
  <r>
    <n v="10270"/>
    <x v="197"/>
    <s v="South East"/>
    <x v="4"/>
    <s v="Monitor"/>
    <s v="Electronics"/>
    <n v="3"/>
    <n v="220"/>
    <n v="660"/>
    <s v="Nov 2023"/>
    <x v="2"/>
  </r>
  <r>
    <n v="10271"/>
    <x v="198"/>
    <s v="North West"/>
    <x v="2"/>
    <s v="Headset"/>
    <s v="Accessories"/>
    <n v="3"/>
    <n v="75"/>
    <n v="225"/>
    <s v="May 2023"/>
    <x v="0"/>
  </r>
  <r>
    <n v="10272"/>
    <x v="199"/>
    <s v="North West"/>
    <x v="3"/>
    <s v="Docking Station"/>
    <s v="Accessories"/>
    <n v="9"/>
    <n v="180"/>
    <n v="1620"/>
    <s v="Jan 2023"/>
    <x v="2"/>
  </r>
  <r>
    <n v="10273"/>
    <x v="197"/>
    <s v="Midlands"/>
    <x v="2"/>
    <s v="Keyboard"/>
    <s v="Accessories"/>
    <n v="7"/>
    <n v="45"/>
    <n v="315"/>
    <s v="Nov 2023"/>
    <x v="0"/>
  </r>
  <r>
    <n v="10274"/>
    <x v="200"/>
    <s v="Midlands"/>
    <x v="0"/>
    <s v="Laptop"/>
    <s v="Electronics"/>
    <n v="5"/>
    <n v="850"/>
    <n v="4250"/>
    <s v="Oct 2023"/>
    <x v="1"/>
  </r>
  <r>
    <n v="10275"/>
    <x v="201"/>
    <s v="North West"/>
    <x v="2"/>
    <s v="Headset"/>
    <s v="Accessories"/>
    <n v="12"/>
    <n v="75"/>
    <n v="900"/>
    <s v="Jun 2023"/>
    <x v="2"/>
  </r>
  <r>
    <n v="10276"/>
    <x v="83"/>
    <s v="North West"/>
    <x v="2"/>
    <s v="Keyboard"/>
    <s v="Accessories"/>
    <n v="10"/>
    <n v="45"/>
    <n v="450"/>
    <s v="May 2024"/>
    <x v="0"/>
  </r>
  <r>
    <n v="10277"/>
    <x v="19"/>
    <s v="South East"/>
    <x v="2"/>
    <s v="Monitor"/>
    <s v="Electronics"/>
    <n v="7"/>
    <n v="220"/>
    <n v="1540"/>
    <s v="Jan 2024"/>
    <x v="2"/>
  </r>
  <r>
    <n v="10278"/>
    <x v="167"/>
    <s v="South East"/>
    <x v="0"/>
    <s v="Mouse"/>
    <s v="Accessories"/>
    <n v="9"/>
    <n v="30"/>
    <n v="270"/>
    <s v="Apr 2023"/>
    <x v="0"/>
  </r>
  <r>
    <n v="10279"/>
    <x v="97"/>
    <s v="Midlands"/>
    <x v="2"/>
    <s v="Docking Station"/>
    <s v="Accessories"/>
    <n v="1"/>
    <n v="180"/>
    <n v="180"/>
    <s v="Jan 2024"/>
    <x v="0"/>
  </r>
  <r>
    <n v="10280"/>
    <x v="202"/>
    <s v="London"/>
    <x v="4"/>
    <s v="Laptop"/>
    <s v="Electronics"/>
    <n v="7"/>
    <n v="850"/>
    <n v="5950"/>
    <s v="Sep 2023"/>
    <x v="1"/>
  </r>
  <r>
    <n v="10281"/>
    <x v="203"/>
    <s v="North West"/>
    <x v="0"/>
    <s v="Docking Station"/>
    <s v="Accessories"/>
    <n v="6"/>
    <n v="180"/>
    <n v="1080"/>
    <s v="Jun 2023"/>
    <x v="2"/>
  </r>
  <r>
    <n v="10282"/>
    <x v="204"/>
    <s v="South East"/>
    <x v="2"/>
    <s v="Monitor"/>
    <s v="Electronics"/>
    <n v="10"/>
    <n v="220"/>
    <n v="2200"/>
    <s v="Feb 2023"/>
    <x v="1"/>
  </r>
  <r>
    <n v="10283"/>
    <x v="54"/>
    <s v="Midlands"/>
    <x v="0"/>
    <s v="Docking Station"/>
    <s v="Accessories"/>
    <n v="14"/>
    <n v="180"/>
    <n v="2520"/>
    <s v="Apr 2024"/>
    <x v="1"/>
  </r>
  <r>
    <n v="10284"/>
    <x v="205"/>
    <s v="South East"/>
    <x v="1"/>
    <s v="Laptop"/>
    <s v="Electronics"/>
    <n v="12"/>
    <n v="850"/>
    <n v="10200"/>
    <s v="Jun 2024"/>
    <x v="1"/>
  </r>
  <r>
    <n v="10285"/>
    <x v="206"/>
    <s v="North West"/>
    <x v="4"/>
    <s v="Monitor"/>
    <s v="Electronics"/>
    <n v="9"/>
    <n v="220"/>
    <n v="1980"/>
    <s v="Feb 2024"/>
    <x v="2"/>
  </r>
  <r>
    <n v="10286"/>
    <x v="105"/>
    <s v="North West"/>
    <x v="2"/>
    <s v="Docking Station"/>
    <s v="Accessories"/>
    <n v="1"/>
    <n v="180"/>
    <n v="180"/>
    <s v="Jun 2024"/>
    <x v="0"/>
  </r>
  <r>
    <n v="10287"/>
    <x v="109"/>
    <s v="Scotland"/>
    <x v="1"/>
    <s v="Mouse"/>
    <s v="Accessories"/>
    <n v="13"/>
    <n v="30"/>
    <n v="390"/>
    <s v="May 2024"/>
    <x v="0"/>
  </r>
  <r>
    <n v="10288"/>
    <x v="104"/>
    <s v="London"/>
    <x v="1"/>
    <s v="Headset"/>
    <s v="Accessories"/>
    <n v="4"/>
    <n v="75"/>
    <n v="300"/>
    <s v="Feb 2023"/>
    <x v="0"/>
  </r>
  <r>
    <n v="10289"/>
    <x v="207"/>
    <s v="Scotland"/>
    <x v="0"/>
    <s v="Monitor"/>
    <s v="Electronics"/>
    <n v="9"/>
    <n v="220"/>
    <n v="1980"/>
    <s v="Jan 2023"/>
    <x v="2"/>
  </r>
  <r>
    <n v="10290"/>
    <x v="208"/>
    <s v="Midlands"/>
    <x v="1"/>
    <s v="Headset"/>
    <s v="Accessories"/>
    <n v="4"/>
    <n v="75"/>
    <n v="300"/>
    <s v="Nov 2023"/>
    <x v="0"/>
  </r>
  <r>
    <n v="10291"/>
    <x v="186"/>
    <s v="South East"/>
    <x v="4"/>
    <s v="Monitor"/>
    <s v="Electronics"/>
    <n v="10"/>
    <n v="220"/>
    <n v="2200"/>
    <s v="May 2024"/>
    <x v="1"/>
  </r>
  <r>
    <n v="10292"/>
    <x v="209"/>
    <s v="Midlands"/>
    <x v="4"/>
    <s v="Mouse"/>
    <s v="Accessories"/>
    <n v="3"/>
    <n v="30"/>
    <n v="90"/>
    <s v="Feb 2024"/>
    <x v="0"/>
  </r>
  <r>
    <n v="10293"/>
    <x v="210"/>
    <s v="North West"/>
    <x v="3"/>
    <s v="Headset"/>
    <s v="Accessories"/>
    <n v="9"/>
    <n v="75"/>
    <n v="675"/>
    <s v="Apr 2024"/>
    <x v="2"/>
  </r>
  <r>
    <n v="10294"/>
    <x v="211"/>
    <s v="Scotland"/>
    <x v="4"/>
    <s v="Keyboard"/>
    <s v="Accessories"/>
    <n v="13"/>
    <n v="45"/>
    <n v="585"/>
    <s v="May 2023"/>
    <x v="2"/>
  </r>
  <r>
    <n v="10295"/>
    <x v="43"/>
    <s v="Scotland"/>
    <x v="1"/>
    <s v="Laptop"/>
    <s v="Electronics"/>
    <n v="2"/>
    <n v="850"/>
    <n v="1700"/>
    <s v="Apr 2023"/>
    <x v="2"/>
  </r>
  <r>
    <n v="10296"/>
    <x v="212"/>
    <s v="Scotland"/>
    <x v="4"/>
    <s v="Keyboard"/>
    <s v="Accessories"/>
    <n v="4"/>
    <n v="45"/>
    <n v="180"/>
    <s v="Dec 2023"/>
    <x v="0"/>
  </r>
  <r>
    <n v="10297"/>
    <x v="213"/>
    <s v="Midlands"/>
    <x v="0"/>
    <s v="Docking Station"/>
    <s v="Accessories"/>
    <n v="6"/>
    <n v="180"/>
    <n v="1080"/>
    <s v="Feb 2023"/>
    <x v="2"/>
  </r>
  <r>
    <n v="10298"/>
    <x v="31"/>
    <s v="North West"/>
    <x v="3"/>
    <s v="Mouse"/>
    <s v="Accessories"/>
    <n v="2"/>
    <n v="30"/>
    <n v="60"/>
    <s v="Jul 2023"/>
    <x v="0"/>
  </r>
  <r>
    <n v="10299"/>
    <x v="214"/>
    <s v="South East"/>
    <x v="1"/>
    <s v="Keyboard"/>
    <s v="Accessories"/>
    <n v="8"/>
    <n v="45"/>
    <n v="360"/>
    <s v="May 2023"/>
    <x v="0"/>
  </r>
  <r>
    <n v="10300"/>
    <x v="215"/>
    <s v="South East"/>
    <x v="3"/>
    <s v="Monitor"/>
    <s v="Electronics"/>
    <n v="8"/>
    <n v="220"/>
    <n v="1760"/>
    <s v="May 2023"/>
    <x v="2"/>
  </r>
  <r>
    <n v="10301"/>
    <x v="24"/>
    <s v="Midlands"/>
    <x v="1"/>
    <s v="Docking Station"/>
    <s v="Accessories"/>
    <n v="1"/>
    <n v="180"/>
    <n v="180"/>
    <s v="Nov 2023"/>
    <x v="0"/>
  </r>
  <r>
    <n v="10302"/>
    <x v="216"/>
    <s v="Scotland"/>
    <x v="0"/>
    <s v="Docking Station"/>
    <s v="Accessories"/>
    <n v="12"/>
    <n v="180"/>
    <n v="2160"/>
    <s v="Dec 2023"/>
    <x v="1"/>
  </r>
  <r>
    <n v="10303"/>
    <x v="217"/>
    <s v="London"/>
    <x v="3"/>
    <s v="Keyboard"/>
    <s v="Accessories"/>
    <n v="3"/>
    <n v="45"/>
    <n v="135"/>
    <s v="Nov 2023"/>
    <x v="0"/>
  </r>
  <r>
    <n v="10304"/>
    <x v="163"/>
    <s v="Midlands"/>
    <x v="2"/>
    <s v="Keyboard"/>
    <s v="Accessories"/>
    <n v="10"/>
    <n v="45"/>
    <n v="450"/>
    <s v="Feb 2023"/>
    <x v="0"/>
  </r>
  <r>
    <n v="10305"/>
    <x v="218"/>
    <s v="Midlands"/>
    <x v="1"/>
    <s v="Mouse"/>
    <s v="Accessories"/>
    <n v="9"/>
    <n v="30"/>
    <n v="270"/>
    <s v="Mar 2024"/>
    <x v="0"/>
  </r>
  <r>
    <n v="10306"/>
    <x v="219"/>
    <s v="North West"/>
    <x v="2"/>
    <s v="Laptop"/>
    <s v="Electronics"/>
    <n v="5"/>
    <n v="850"/>
    <n v="4250"/>
    <s v="Sep 2023"/>
    <x v="1"/>
  </r>
  <r>
    <n v="10307"/>
    <x v="64"/>
    <s v="South East"/>
    <x v="3"/>
    <s v="Keyboard"/>
    <s v="Accessories"/>
    <n v="6"/>
    <n v="45"/>
    <n v="270"/>
    <s v="Feb 2023"/>
    <x v="0"/>
  </r>
  <r>
    <n v="10308"/>
    <x v="94"/>
    <s v="Midlands"/>
    <x v="2"/>
    <s v="Keyboard"/>
    <s v="Accessories"/>
    <n v="4"/>
    <n v="45"/>
    <n v="180"/>
    <s v="Jan 2023"/>
    <x v="0"/>
  </r>
  <r>
    <n v="10309"/>
    <x v="0"/>
    <s v="Midlands"/>
    <x v="2"/>
    <s v="Headset"/>
    <s v="Accessories"/>
    <n v="10"/>
    <n v="75"/>
    <n v="750"/>
    <s v="Apr 2023"/>
    <x v="2"/>
  </r>
  <r>
    <n v="10310"/>
    <x v="220"/>
    <s v="Scotland"/>
    <x v="3"/>
    <s v="Monitor"/>
    <s v="Electronics"/>
    <n v="2"/>
    <n v="220"/>
    <n v="440"/>
    <s v="Jul 2023"/>
    <x v="0"/>
  </r>
  <r>
    <n v="10311"/>
    <x v="221"/>
    <s v="Scotland"/>
    <x v="0"/>
    <s v="Headset"/>
    <s v="Accessories"/>
    <n v="11"/>
    <n v="75"/>
    <n v="825"/>
    <s v="Dec 2023"/>
    <x v="2"/>
  </r>
  <r>
    <n v="10312"/>
    <x v="222"/>
    <s v="London"/>
    <x v="2"/>
    <s v="Headset"/>
    <s v="Accessories"/>
    <n v="8"/>
    <n v="75"/>
    <n v="600"/>
    <s v="Feb 2023"/>
    <x v="2"/>
  </r>
  <r>
    <n v="10313"/>
    <x v="223"/>
    <s v="North West"/>
    <x v="2"/>
    <s v="Docking Station"/>
    <s v="Accessories"/>
    <n v="11"/>
    <n v="180"/>
    <n v="1980"/>
    <s v="Sep 2023"/>
    <x v="2"/>
  </r>
  <r>
    <n v="10314"/>
    <x v="224"/>
    <s v="London"/>
    <x v="0"/>
    <s v="Laptop"/>
    <s v="Electronics"/>
    <n v="13"/>
    <n v="850"/>
    <n v="11050"/>
    <s v="Jan 2024"/>
    <x v="1"/>
  </r>
  <r>
    <n v="10315"/>
    <x v="53"/>
    <s v="Scotland"/>
    <x v="2"/>
    <s v="Monitor"/>
    <s v="Electronics"/>
    <n v="6"/>
    <n v="220"/>
    <n v="1320"/>
    <s v="Apr 2023"/>
    <x v="2"/>
  </r>
  <r>
    <n v="10316"/>
    <x v="164"/>
    <s v="South East"/>
    <x v="2"/>
    <s v="Mouse"/>
    <s v="Accessories"/>
    <n v="5"/>
    <n v="30"/>
    <n v="150"/>
    <s v="Apr 2023"/>
    <x v="0"/>
  </r>
  <r>
    <n v="10317"/>
    <x v="225"/>
    <s v="Scotland"/>
    <x v="2"/>
    <s v="Mouse"/>
    <s v="Accessories"/>
    <n v="9"/>
    <n v="30"/>
    <n v="270"/>
    <s v="Feb 2023"/>
    <x v="0"/>
  </r>
  <r>
    <n v="10318"/>
    <x v="41"/>
    <s v="North West"/>
    <x v="4"/>
    <s v="Keyboard"/>
    <s v="Accessories"/>
    <n v="1"/>
    <n v="45"/>
    <n v="45"/>
    <s v="Dec 2023"/>
    <x v="0"/>
  </r>
  <r>
    <n v="10319"/>
    <x v="226"/>
    <s v="Scotland"/>
    <x v="0"/>
    <s v="Keyboard"/>
    <s v="Accessories"/>
    <n v="5"/>
    <n v="45"/>
    <n v="225"/>
    <s v="Apr 2024"/>
    <x v="0"/>
  </r>
  <r>
    <n v="10320"/>
    <x v="227"/>
    <s v="North West"/>
    <x v="2"/>
    <s v="Mouse"/>
    <s v="Accessories"/>
    <n v="6"/>
    <n v="30"/>
    <n v="180"/>
    <s v="Apr 2023"/>
    <x v="0"/>
  </r>
  <r>
    <n v="10321"/>
    <x v="228"/>
    <s v="North West"/>
    <x v="0"/>
    <s v="Keyboard"/>
    <s v="Accessories"/>
    <n v="5"/>
    <n v="45"/>
    <n v="225"/>
    <s v="May 2023"/>
    <x v="0"/>
  </r>
  <r>
    <n v="10322"/>
    <x v="97"/>
    <s v="North West"/>
    <x v="1"/>
    <s v="Laptop"/>
    <s v="Electronics"/>
    <n v="6"/>
    <n v="850"/>
    <n v="5100"/>
    <s v="Jan 2024"/>
    <x v="1"/>
  </r>
  <r>
    <n v="10323"/>
    <x v="225"/>
    <s v="North West"/>
    <x v="1"/>
    <s v="Headset"/>
    <s v="Accessories"/>
    <n v="6"/>
    <n v="75"/>
    <n v="450"/>
    <s v="Feb 2023"/>
    <x v="0"/>
  </r>
  <r>
    <n v="10324"/>
    <x v="229"/>
    <s v="North West"/>
    <x v="2"/>
    <s v="Keyboard"/>
    <s v="Accessories"/>
    <n v="7"/>
    <n v="45"/>
    <n v="315"/>
    <s v="May 2024"/>
    <x v="0"/>
  </r>
  <r>
    <n v="10325"/>
    <x v="101"/>
    <s v="South East"/>
    <x v="0"/>
    <s v="Docking Station"/>
    <s v="Accessories"/>
    <n v="4"/>
    <n v="180"/>
    <n v="720"/>
    <s v="Apr 2023"/>
    <x v="2"/>
  </r>
  <r>
    <n v="10326"/>
    <x v="230"/>
    <s v="London"/>
    <x v="0"/>
    <s v="Keyboard"/>
    <s v="Accessories"/>
    <n v="14"/>
    <n v="45"/>
    <n v="630"/>
    <s v="Apr 2023"/>
    <x v="2"/>
  </r>
  <r>
    <n v="10327"/>
    <x v="231"/>
    <s v="Midlands"/>
    <x v="0"/>
    <s v="Monitor"/>
    <s v="Electronics"/>
    <n v="11"/>
    <n v="220"/>
    <n v="2420"/>
    <s v="May 2024"/>
    <x v="1"/>
  </r>
  <r>
    <n v="10328"/>
    <x v="232"/>
    <s v="London"/>
    <x v="4"/>
    <s v="Laptop"/>
    <s v="Electronics"/>
    <n v="14"/>
    <n v="850"/>
    <n v="11900"/>
    <s v="Aug 2023"/>
    <x v="1"/>
  </r>
  <r>
    <n v="10329"/>
    <x v="233"/>
    <s v="North West"/>
    <x v="1"/>
    <s v="Monitor"/>
    <s v="Electronics"/>
    <n v="14"/>
    <n v="220"/>
    <n v="3080"/>
    <s v="Sep 2023"/>
    <x v="1"/>
  </r>
  <r>
    <n v="10330"/>
    <x v="234"/>
    <s v="South East"/>
    <x v="0"/>
    <s v="Monitor"/>
    <s v="Electronics"/>
    <n v="14"/>
    <n v="220"/>
    <n v="3080"/>
    <s v="Jul 2023"/>
    <x v="1"/>
  </r>
  <r>
    <n v="10331"/>
    <x v="235"/>
    <s v="Scotland"/>
    <x v="0"/>
    <s v="Docking Station"/>
    <s v="Accessories"/>
    <n v="8"/>
    <n v="180"/>
    <n v="1440"/>
    <s v="Mar 2024"/>
    <x v="2"/>
  </r>
  <r>
    <n v="10332"/>
    <x v="133"/>
    <s v="South East"/>
    <x v="4"/>
    <s v="Laptop"/>
    <s v="Electronics"/>
    <n v="7"/>
    <n v="850"/>
    <n v="5950"/>
    <s v="Sep 2023"/>
    <x v="1"/>
  </r>
  <r>
    <n v="10333"/>
    <x v="236"/>
    <s v="North West"/>
    <x v="4"/>
    <s v="Laptop"/>
    <s v="Electronics"/>
    <n v="9"/>
    <n v="850"/>
    <n v="7650"/>
    <s v="Mar 2023"/>
    <x v="1"/>
  </r>
  <r>
    <n v="10334"/>
    <x v="237"/>
    <s v="South East"/>
    <x v="0"/>
    <s v="Laptop"/>
    <s v="Electronics"/>
    <n v="7"/>
    <n v="850"/>
    <n v="5950"/>
    <s v="Jun 2023"/>
    <x v="1"/>
  </r>
  <r>
    <n v="10335"/>
    <x v="238"/>
    <s v="South East"/>
    <x v="3"/>
    <s v="Laptop"/>
    <s v="Electronics"/>
    <n v="3"/>
    <n v="850"/>
    <n v="2550"/>
    <s v="Mar 2024"/>
    <x v="1"/>
  </r>
  <r>
    <n v="10336"/>
    <x v="108"/>
    <s v="North West"/>
    <x v="0"/>
    <s v="Laptop"/>
    <s v="Electronics"/>
    <n v="3"/>
    <n v="850"/>
    <n v="2550"/>
    <s v="Mar 2023"/>
    <x v="1"/>
  </r>
  <r>
    <n v="10337"/>
    <x v="239"/>
    <s v="South East"/>
    <x v="0"/>
    <s v="Docking Station"/>
    <s v="Accessories"/>
    <n v="8"/>
    <n v="180"/>
    <n v="1440"/>
    <s v="Oct 2023"/>
    <x v="2"/>
  </r>
  <r>
    <n v="10338"/>
    <x v="129"/>
    <s v="Midlands"/>
    <x v="4"/>
    <s v="Keyboard"/>
    <s v="Accessories"/>
    <n v="5"/>
    <n v="45"/>
    <n v="225"/>
    <s v="Aug 2023"/>
    <x v="0"/>
  </r>
  <r>
    <n v="10339"/>
    <x v="240"/>
    <s v="Midlands"/>
    <x v="4"/>
    <s v="Monitor"/>
    <s v="Electronics"/>
    <n v="4"/>
    <n v="220"/>
    <n v="880"/>
    <s v="Mar 2023"/>
    <x v="2"/>
  </r>
  <r>
    <n v="10340"/>
    <x v="222"/>
    <s v="South East"/>
    <x v="0"/>
    <s v="Laptop"/>
    <s v="Electronics"/>
    <n v="8"/>
    <n v="850"/>
    <n v="6800"/>
    <s v="Feb 2023"/>
    <x v="1"/>
  </r>
  <r>
    <n v="10341"/>
    <x v="241"/>
    <s v="Scotland"/>
    <x v="0"/>
    <s v="Keyboard"/>
    <s v="Accessories"/>
    <n v="6"/>
    <n v="45"/>
    <n v="270"/>
    <s v="Apr 2023"/>
    <x v="0"/>
  </r>
  <r>
    <n v="10342"/>
    <x v="157"/>
    <s v="North West"/>
    <x v="0"/>
    <s v="Keyboard"/>
    <s v="Accessories"/>
    <n v="2"/>
    <n v="45"/>
    <n v="90"/>
    <s v="Mar 2024"/>
    <x v="0"/>
  </r>
  <r>
    <n v="10343"/>
    <x v="242"/>
    <s v="Midlands"/>
    <x v="4"/>
    <s v="Monitor"/>
    <s v="Electronics"/>
    <n v="4"/>
    <n v="220"/>
    <n v="880"/>
    <s v="Jul 2023"/>
    <x v="2"/>
  </r>
  <r>
    <n v="10344"/>
    <x v="95"/>
    <s v="Scotland"/>
    <x v="0"/>
    <s v="Docking Station"/>
    <s v="Accessories"/>
    <n v="12"/>
    <n v="180"/>
    <n v="2160"/>
    <s v="Aug 2023"/>
    <x v="1"/>
  </r>
  <r>
    <n v="10345"/>
    <x v="226"/>
    <s v="South East"/>
    <x v="0"/>
    <s v="Mouse"/>
    <s v="Accessories"/>
    <n v="11"/>
    <n v="30"/>
    <n v="330"/>
    <s v="Apr 2024"/>
    <x v="0"/>
  </r>
  <r>
    <n v="10346"/>
    <x v="243"/>
    <s v="Scotland"/>
    <x v="2"/>
    <s v="Mouse"/>
    <s v="Accessories"/>
    <n v="4"/>
    <n v="30"/>
    <n v="120"/>
    <s v="Mar 2024"/>
    <x v="0"/>
  </r>
  <r>
    <n v="10347"/>
    <x v="244"/>
    <s v="London"/>
    <x v="3"/>
    <s v="Keyboard"/>
    <s v="Accessories"/>
    <n v="6"/>
    <n v="45"/>
    <n v="270"/>
    <s v="Dec 2023"/>
    <x v="0"/>
  </r>
  <r>
    <n v="10348"/>
    <x v="81"/>
    <s v="Midlands"/>
    <x v="1"/>
    <s v="Headset"/>
    <s v="Accessories"/>
    <n v="6"/>
    <n v="75"/>
    <n v="450"/>
    <s v="Oct 2023"/>
    <x v="0"/>
  </r>
  <r>
    <n v="10349"/>
    <x v="156"/>
    <s v="South East"/>
    <x v="3"/>
    <s v="Headset"/>
    <s v="Accessories"/>
    <n v="1"/>
    <n v="75"/>
    <n v="75"/>
    <s v="Sep 2023"/>
    <x v="0"/>
  </r>
  <r>
    <n v="10350"/>
    <x v="245"/>
    <s v="North West"/>
    <x v="2"/>
    <s v="Monitor"/>
    <s v="Electronics"/>
    <n v="14"/>
    <n v="220"/>
    <n v="3080"/>
    <s v="Dec 2023"/>
    <x v="1"/>
  </r>
  <r>
    <n v="10351"/>
    <x v="246"/>
    <s v="South East"/>
    <x v="1"/>
    <s v="Mouse"/>
    <s v="Accessories"/>
    <n v="8"/>
    <n v="30"/>
    <n v="240"/>
    <s v="Jan 2023"/>
    <x v="0"/>
  </r>
  <r>
    <n v="10352"/>
    <x v="247"/>
    <s v="North West"/>
    <x v="0"/>
    <s v="Keyboard"/>
    <s v="Accessories"/>
    <n v="6"/>
    <n v="45"/>
    <n v="270"/>
    <s v="Jun 2024"/>
    <x v="0"/>
  </r>
  <r>
    <n v="10353"/>
    <x v="13"/>
    <s v="South East"/>
    <x v="2"/>
    <s v="Docking Station"/>
    <s v="Accessories"/>
    <n v="3"/>
    <n v="180"/>
    <n v="540"/>
    <s v="Apr 2023"/>
    <x v="2"/>
  </r>
  <r>
    <n v="10354"/>
    <x v="248"/>
    <s v="Scotland"/>
    <x v="0"/>
    <s v="Mouse"/>
    <s v="Accessories"/>
    <n v="14"/>
    <n v="30"/>
    <n v="420"/>
    <s v="Jun 2023"/>
    <x v="0"/>
  </r>
  <r>
    <n v="10355"/>
    <x v="249"/>
    <s v="Scotland"/>
    <x v="4"/>
    <s v="Keyboard"/>
    <s v="Accessories"/>
    <n v="9"/>
    <n v="45"/>
    <n v="405"/>
    <s v="Aug 2023"/>
    <x v="0"/>
  </r>
  <r>
    <n v="10356"/>
    <x v="125"/>
    <s v="Scotland"/>
    <x v="2"/>
    <s v="Keyboard"/>
    <s v="Accessories"/>
    <n v="2"/>
    <n v="45"/>
    <n v="90"/>
    <s v="Mar 2024"/>
    <x v="0"/>
  </r>
  <r>
    <n v="10357"/>
    <x v="250"/>
    <s v="London"/>
    <x v="4"/>
    <s v="Laptop"/>
    <s v="Electronics"/>
    <n v="11"/>
    <n v="850"/>
    <n v="9350"/>
    <s v="Nov 2023"/>
    <x v="1"/>
  </r>
  <r>
    <n v="10358"/>
    <x v="184"/>
    <s v="North West"/>
    <x v="2"/>
    <s v="Docking Station"/>
    <s v="Accessories"/>
    <n v="8"/>
    <n v="180"/>
    <n v="1440"/>
    <s v="May 2024"/>
    <x v="2"/>
  </r>
  <r>
    <n v="10359"/>
    <x v="251"/>
    <s v="Scotland"/>
    <x v="2"/>
    <s v="Laptop"/>
    <s v="Electronics"/>
    <n v="10"/>
    <n v="850"/>
    <n v="8500"/>
    <s v="Jan 2023"/>
    <x v="1"/>
  </r>
  <r>
    <n v="10360"/>
    <x v="252"/>
    <s v="London"/>
    <x v="4"/>
    <s v="Monitor"/>
    <s v="Electronics"/>
    <n v="3"/>
    <n v="220"/>
    <n v="660"/>
    <s v="Dec 2023"/>
    <x v="2"/>
  </r>
  <r>
    <n v="10361"/>
    <x v="253"/>
    <s v="North West"/>
    <x v="1"/>
    <s v="Laptop"/>
    <s v="Electronics"/>
    <n v="13"/>
    <n v="850"/>
    <n v="11050"/>
    <s v="Sep 2023"/>
    <x v="1"/>
  </r>
  <r>
    <n v="10362"/>
    <x v="124"/>
    <s v="South East"/>
    <x v="3"/>
    <s v="Laptop"/>
    <s v="Electronics"/>
    <n v="12"/>
    <n v="850"/>
    <n v="10200"/>
    <s v="May 2024"/>
    <x v="1"/>
  </r>
  <r>
    <n v="10363"/>
    <x v="106"/>
    <s v="London"/>
    <x v="0"/>
    <s v="Mouse"/>
    <s v="Accessories"/>
    <n v="5"/>
    <n v="30"/>
    <n v="150"/>
    <s v="Jun 2023"/>
    <x v="0"/>
  </r>
  <r>
    <n v="10364"/>
    <x v="27"/>
    <s v="Midlands"/>
    <x v="2"/>
    <s v="Headset"/>
    <s v="Accessories"/>
    <n v="6"/>
    <n v="75"/>
    <n v="450"/>
    <s v="Apr 2024"/>
    <x v="0"/>
  </r>
  <r>
    <n v="10365"/>
    <x v="67"/>
    <s v="London"/>
    <x v="0"/>
    <s v="Keyboard"/>
    <s v="Accessories"/>
    <n v="10"/>
    <n v="45"/>
    <n v="450"/>
    <s v="Jan 2024"/>
    <x v="0"/>
  </r>
  <r>
    <n v="10366"/>
    <x v="254"/>
    <s v="London"/>
    <x v="4"/>
    <s v="Docking Station"/>
    <s v="Accessories"/>
    <n v="6"/>
    <n v="180"/>
    <n v="1080"/>
    <s v="Jun 2024"/>
    <x v="2"/>
  </r>
  <r>
    <n v="10367"/>
    <x v="255"/>
    <s v="North West"/>
    <x v="0"/>
    <s v="Laptop"/>
    <s v="Electronics"/>
    <n v="4"/>
    <n v="850"/>
    <n v="3400"/>
    <s v="Mar 2024"/>
    <x v="1"/>
  </r>
  <r>
    <n v="10368"/>
    <x v="126"/>
    <s v="South East"/>
    <x v="4"/>
    <s v="Docking Station"/>
    <s v="Accessories"/>
    <n v="3"/>
    <n v="180"/>
    <n v="540"/>
    <s v="Sep 2023"/>
    <x v="2"/>
  </r>
  <r>
    <n v="10369"/>
    <x v="256"/>
    <s v="Midlands"/>
    <x v="0"/>
    <s v="Headset"/>
    <s v="Accessories"/>
    <n v="4"/>
    <n v="75"/>
    <n v="300"/>
    <s v="Feb 2024"/>
    <x v="0"/>
  </r>
  <r>
    <n v="10370"/>
    <x v="257"/>
    <s v="Scotland"/>
    <x v="3"/>
    <s v="Headset"/>
    <s v="Accessories"/>
    <n v="1"/>
    <n v="75"/>
    <n v="75"/>
    <s v="Jun 2023"/>
    <x v="0"/>
  </r>
  <r>
    <n v="10371"/>
    <x v="258"/>
    <s v="Scotland"/>
    <x v="3"/>
    <s v="Laptop"/>
    <s v="Electronics"/>
    <n v="4"/>
    <n v="850"/>
    <n v="3400"/>
    <s v="Feb 2023"/>
    <x v="1"/>
  </r>
  <r>
    <n v="10372"/>
    <x v="239"/>
    <s v="London"/>
    <x v="3"/>
    <s v="Monitor"/>
    <s v="Electronics"/>
    <n v="1"/>
    <n v="220"/>
    <n v="220"/>
    <s v="Oct 2023"/>
    <x v="0"/>
  </r>
  <r>
    <n v="10373"/>
    <x v="259"/>
    <s v="North West"/>
    <x v="3"/>
    <s v="Laptop"/>
    <s v="Electronics"/>
    <n v="12"/>
    <n v="850"/>
    <n v="10200"/>
    <s v="Feb 2024"/>
    <x v="1"/>
  </r>
  <r>
    <n v="10374"/>
    <x v="260"/>
    <s v="North West"/>
    <x v="3"/>
    <s v="Mouse"/>
    <s v="Accessories"/>
    <n v="1"/>
    <n v="30"/>
    <n v="30"/>
    <s v="Jan 2023"/>
    <x v="0"/>
  </r>
  <r>
    <n v="10375"/>
    <x v="192"/>
    <s v="Scotland"/>
    <x v="3"/>
    <s v="Keyboard"/>
    <s v="Accessories"/>
    <n v="10"/>
    <n v="45"/>
    <n v="450"/>
    <s v="Oct 2023"/>
    <x v="0"/>
  </r>
  <r>
    <n v="10376"/>
    <x v="26"/>
    <s v="Midlands"/>
    <x v="4"/>
    <s v="Monitor"/>
    <s v="Electronics"/>
    <n v="14"/>
    <n v="220"/>
    <n v="3080"/>
    <s v="Sep 2023"/>
    <x v="1"/>
  </r>
  <r>
    <n v="10377"/>
    <x v="78"/>
    <s v="South East"/>
    <x v="2"/>
    <s v="Laptop"/>
    <s v="Electronics"/>
    <n v="6"/>
    <n v="850"/>
    <n v="5100"/>
    <s v="May 2024"/>
    <x v="1"/>
  </r>
  <r>
    <n v="10378"/>
    <x v="48"/>
    <s v="Midlands"/>
    <x v="0"/>
    <s v="Docking Station"/>
    <s v="Accessories"/>
    <n v="5"/>
    <n v="180"/>
    <n v="900"/>
    <s v="Feb 2023"/>
    <x v="2"/>
  </r>
  <r>
    <n v="10379"/>
    <x v="261"/>
    <s v="South East"/>
    <x v="3"/>
    <s v="Monitor"/>
    <s v="Electronics"/>
    <n v="14"/>
    <n v="220"/>
    <n v="3080"/>
    <s v="Mar 2023"/>
    <x v="1"/>
  </r>
  <r>
    <n v="10380"/>
    <x v="262"/>
    <s v="Scotland"/>
    <x v="4"/>
    <s v="Monitor"/>
    <s v="Electronics"/>
    <n v="11"/>
    <n v="220"/>
    <n v="2420"/>
    <s v="Feb 2024"/>
    <x v="1"/>
  </r>
  <r>
    <n v="10381"/>
    <x v="263"/>
    <s v="South East"/>
    <x v="4"/>
    <s v="Laptop"/>
    <s v="Electronics"/>
    <n v="4"/>
    <n v="850"/>
    <n v="3400"/>
    <s v="Apr 2023"/>
    <x v="1"/>
  </r>
  <r>
    <n v="10382"/>
    <x v="220"/>
    <s v="North West"/>
    <x v="4"/>
    <s v="Monitor"/>
    <s v="Electronics"/>
    <n v="13"/>
    <n v="220"/>
    <n v="2860"/>
    <s v="Jul 2023"/>
    <x v="1"/>
  </r>
  <r>
    <n v="10383"/>
    <x v="264"/>
    <s v="London"/>
    <x v="2"/>
    <s v="Docking Station"/>
    <s v="Accessories"/>
    <n v="11"/>
    <n v="180"/>
    <n v="1980"/>
    <s v="May 2024"/>
    <x v="2"/>
  </r>
  <r>
    <n v="10384"/>
    <x v="68"/>
    <s v="London"/>
    <x v="0"/>
    <s v="Headset"/>
    <s v="Accessories"/>
    <n v="3"/>
    <n v="75"/>
    <n v="225"/>
    <s v="May 2024"/>
    <x v="0"/>
  </r>
  <r>
    <n v="10385"/>
    <x v="265"/>
    <s v="Scotland"/>
    <x v="2"/>
    <s v="Monitor"/>
    <s v="Electronics"/>
    <n v="1"/>
    <n v="220"/>
    <n v="220"/>
    <s v="Mar 2023"/>
    <x v="0"/>
  </r>
  <r>
    <n v="10386"/>
    <x v="266"/>
    <s v="North West"/>
    <x v="1"/>
    <s v="Headset"/>
    <s v="Accessories"/>
    <n v="6"/>
    <n v="75"/>
    <n v="450"/>
    <s v="Feb 2024"/>
    <x v="0"/>
  </r>
  <r>
    <n v="10387"/>
    <x v="267"/>
    <s v="Midlands"/>
    <x v="4"/>
    <s v="Docking Station"/>
    <s v="Accessories"/>
    <n v="2"/>
    <n v="180"/>
    <n v="360"/>
    <s v="Jan 2024"/>
    <x v="0"/>
  </r>
  <r>
    <n v="10388"/>
    <x v="165"/>
    <s v="North West"/>
    <x v="1"/>
    <s v="Laptop"/>
    <s v="Electronics"/>
    <n v="8"/>
    <n v="850"/>
    <n v="6800"/>
    <s v="Feb 2024"/>
    <x v="1"/>
  </r>
  <r>
    <n v="10389"/>
    <x v="21"/>
    <s v="London"/>
    <x v="3"/>
    <s v="Keyboard"/>
    <s v="Accessories"/>
    <n v="10"/>
    <n v="45"/>
    <n v="450"/>
    <s v="Oct 2023"/>
    <x v="0"/>
  </r>
  <r>
    <n v="10390"/>
    <x v="268"/>
    <s v="London"/>
    <x v="3"/>
    <s v="Monitor"/>
    <s v="Electronics"/>
    <n v="5"/>
    <n v="220"/>
    <n v="1100"/>
    <s v="Jan 2024"/>
    <x v="2"/>
  </r>
  <r>
    <n v="10391"/>
    <x v="269"/>
    <s v="North West"/>
    <x v="2"/>
    <s v="Keyboard"/>
    <s v="Accessories"/>
    <n v="7"/>
    <n v="45"/>
    <n v="315"/>
    <s v="Apr 2024"/>
    <x v="0"/>
  </r>
  <r>
    <n v="10392"/>
    <x v="20"/>
    <s v="North West"/>
    <x v="0"/>
    <s v="Docking Station"/>
    <s v="Accessories"/>
    <n v="10"/>
    <n v="180"/>
    <n v="1800"/>
    <s v="Jul 2023"/>
    <x v="2"/>
  </r>
  <r>
    <n v="10393"/>
    <x v="92"/>
    <s v="London"/>
    <x v="1"/>
    <s v="Monitor"/>
    <s v="Electronics"/>
    <n v="12"/>
    <n v="220"/>
    <n v="2640"/>
    <s v="Apr 2023"/>
    <x v="1"/>
  </r>
  <r>
    <n v="10394"/>
    <x v="101"/>
    <s v="Midlands"/>
    <x v="0"/>
    <s v="Headset"/>
    <s v="Accessories"/>
    <n v="2"/>
    <n v="75"/>
    <n v="150"/>
    <s v="Apr 2023"/>
    <x v="0"/>
  </r>
  <r>
    <n v="10395"/>
    <x v="31"/>
    <s v="Scotland"/>
    <x v="2"/>
    <s v="Mouse"/>
    <s v="Accessories"/>
    <n v="13"/>
    <n v="30"/>
    <n v="390"/>
    <s v="Jul 2023"/>
    <x v="0"/>
  </r>
  <r>
    <n v="10396"/>
    <x v="158"/>
    <s v="Scotland"/>
    <x v="3"/>
    <s v="Keyboard"/>
    <s v="Accessories"/>
    <n v="8"/>
    <n v="45"/>
    <n v="360"/>
    <s v="Feb 2023"/>
    <x v="0"/>
  </r>
  <r>
    <n v="10397"/>
    <x v="270"/>
    <s v="North West"/>
    <x v="0"/>
    <s v="Monitor"/>
    <s v="Electronics"/>
    <n v="2"/>
    <n v="220"/>
    <n v="440"/>
    <s v="Jan 2024"/>
    <x v="0"/>
  </r>
  <r>
    <n v="10398"/>
    <x v="105"/>
    <s v="Scotland"/>
    <x v="0"/>
    <s v="Keyboard"/>
    <s v="Accessories"/>
    <n v="4"/>
    <n v="45"/>
    <n v="180"/>
    <s v="Jun 2024"/>
    <x v="0"/>
  </r>
  <r>
    <n v="10399"/>
    <x v="271"/>
    <s v="London"/>
    <x v="3"/>
    <s v="Monitor"/>
    <s v="Electronics"/>
    <n v="1"/>
    <n v="220"/>
    <n v="220"/>
    <s v="Oct 2023"/>
    <x v="0"/>
  </r>
  <r>
    <n v="10400"/>
    <x v="65"/>
    <s v="London"/>
    <x v="1"/>
    <s v="Laptop"/>
    <s v="Electronics"/>
    <n v="5"/>
    <n v="850"/>
    <n v="4250"/>
    <s v="Aug 2023"/>
    <x v="1"/>
  </r>
  <r>
    <n v="10401"/>
    <x v="272"/>
    <s v="North West"/>
    <x v="3"/>
    <s v="Headset"/>
    <s v="Accessories"/>
    <n v="9"/>
    <n v="75"/>
    <n v="675"/>
    <s v="Sep 2023"/>
    <x v="2"/>
  </r>
  <r>
    <n v="10402"/>
    <x v="273"/>
    <s v="North West"/>
    <x v="0"/>
    <s v="Keyboard"/>
    <s v="Accessories"/>
    <n v="1"/>
    <n v="45"/>
    <n v="45"/>
    <s v="Mar 2023"/>
    <x v="0"/>
  </r>
  <r>
    <n v="10403"/>
    <x v="216"/>
    <s v="North West"/>
    <x v="1"/>
    <s v="Mouse"/>
    <s v="Accessories"/>
    <n v="9"/>
    <n v="30"/>
    <n v="270"/>
    <s v="Dec 2023"/>
    <x v="0"/>
  </r>
  <r>
    <n v="10404"/>
    <x v="259"/>
    <s v="Midlands"/>
    <x v="1"/>
    <s v="Mouse"/>
    <s v="Accessories"/>
    <n v="11"/>
    <n v="30"/>
    <n v="330"/>
    <s v="Feb 2024"/>
    <x v="0"/>
  </r>
  <r>
    <n v="10405"/>
    <x v="274"/>
    <s v="Scotland"/>
    <x v="3"/>
    <s v="Docking Station"/>
    <s v="Accessories"/>
    <n v="8"/>
    <n v="180"/>
    <n v="1440"/>
    <s v="Jan 2023"/>
    <x v="2"/>
  </r>
  <r>
    <n v="10406"/>
    <x v="275"/>
    <s v="North West"/>
    <x v="0"/>
    <s v="Monitor"/>
    <s v="Electronics"/>
    <n v="6"/>
    <n v="220"/>
    <n v="1320"/>
    <s v="Jun 2023"/>
    <x v="2"/>
  </r>
  <r>
    <n v="10407"/>
    <x v="276"/>
    <s v="South East"/>
    <x v="2"/>
    <s v="Keyboard"/>
    <s v="Accessories"/>
    <n v="7"/>
    <n v="45"/>
    <n v="315"/>
    <s v="Jan 2024"/>
    <x v="0"/>
  </r>
  <r>
    <n v="10408"/>
    <x v="277"/>
    <s v="South East"/>
    <x v="0"/>
    <s v="Docking Station"/>
    <s v="Accessories"/>
    <n v="3"/>
    <n v="180"/>
    <n v="540"/>
    <s v="Mar 2024"/>
    <x v="2"/>
  </r>
  <r>
    <n v="10409"/>
    <x v="122"/>
    <s v="London"/>
    <x v="4"/>
    <s v="Keyboard"/>
    <s v="Accessories"/>
    <n v="14"/>
    <n v="45"/>
    <n v="630"/>
    <s v="Aug 2023"/>
    <x v="2"/>
  </r>
  <r>
    <n v="10410"/>
    <x v="236"/>
    <s v="Scotland"/>
    <x v="2"/>
    <s v="Monitor"/>
    <s v="Electronics"/>
    <n v="1"/>
    <n v="220"/>
    <n v="220"/>
    <s v="Mar 2023"/>
    <x v="0"/>
  </r>
  <r>
    <n v="10411"/>
    <x v="278"/>
    <s v="North West"/>
    <x v="1"/>
    <s v="Mouse"/>
    <s v="Accessories"/>
    <n v="5"/>
    <n v="30"/>
    <n v="150"/>
    <s v="Sep 2023"/>
    <x v="0"/>
  </r>
  <r>
    <n v="10412"/>
    <x v="45"/>
    <s v="South East"/>
    <x v="2"/>
    <s v="Laptop"/>
    <s v="Electronics"/>
    <n v="14"/>
    <n v="850"/>
    <n v="11900"/>
    <s v="Mar 2024"/>
    <x v="1"/>
  </r>
  <r>
    <n v="10413"/>
    <x v="279"/>
    <s v="Scotland"/>
    <x v="1"/>
    <s v="Mouse"/>
    <s v="Accessories"/>
    <n v="12"/>
    <n v="30"/>
    <n v="360"/>
    <s v="Jan 2024"/>
    <x v="0"/>
  </r>
  <r>
    <n v="10414"/>
    <x v="109"/>
    <s v="London"/>
    <x v="1"/>
    <s v="Docking Station"/>
    <s v="Accessories"/>
    <n v="12"/>
    <n v="180"/>
    <n v="2160"/>
    <s v="May 2024"/>
    <x v="1"/>
  </r>
  <r>
    <n v="10415"/>
    <x v="44"/>
    <s v="Midlands"/>
    <x v="2"/>
    <s v="Headset"/>
    <s v="Accessories"/>
    <n v="2"/>
    <n v="75"/>
    <n v="150"/>
    <s v="Jan 2024"/>
    <x v="0"/>
  </r>
  <r>
    <n v="10416"/>
    <x v="142"/>
    <s v="Scotland"/>
    <x v="1"/>
    <s v="Laptop"/>
    <s v="Electronics"/>
    <n v="14"/>
    <n v="850"/>
    <n v="11900"/>
    <s v="May 2023"/>
    <x v="1"/>
  </r>
  <r>
    <n v="10417"/>
    <x v="240"/>
    <s v="Scotland"/>
    <x v="1"/>
    <s v="Docking Station"/>
    <s v="Accessories"/>
    <n v="5"/>
    <n v="180"/>
    <n v="900"/>
    <s v="Mar 2023"/>
    <x v="2"/>
  </r>
  <r>
    <n v="10418"/>
    <x v="92"/>
    <s v="Midlands"/>
    <x v="4"/>
    <s v="Monitor"/>
    <s v="Electronics"/>
    <n v="8"/>
    <n v="220"/>
    <n v="1760"/>
    <s v="Apr 2023"/>
    <x v="2"/>
  </r>
  <r>
    <n v="10419"/>
    <x v="276"/>
    <s v="Scotland"/>
    <x v="0"/>
    <s v="Laptop"/>
    <s v="Electronics"/>
    <n v="11"/>
    <n v="850"/>
    <n v="9350"/>
    <s v="Jan 2024"/>
    <x v="1"/>
  </r>
  <r>
    <n v="10420"/>
    <x v="280"/>
    <s v="London"/>
    <x v="0"/>
    <s v="Docking Station"/>
    <s v="Accessories"/>
    <n v="9"/>
    <n v="180"/>
    <n v="1620"/>
    <s v="Jan 2023"/>
    <x v="2"/>
  </r>
  <r>
    <n v="10421"/>
    <x v="281"/>
    <s v="London"/>
    <x v="4"/>
    <s v="Monitor"/>
    <s v="Electronics"/>
    <n v="2"/>
    <n v="220"/>
    <n v="440"/>
    <s v="Apr 2024"/>
    <x v="0"/>
  </r>
  <r>
    <n v="10422"/>
    <x v="282"/>
    <s v="Midlands"/>
    <x v="2"/>
    <s v="Mouse"/>
    <s v="Accessories"/>
    <n v="12"/>
    <n v="30"/>
    <n v="360"/>
    <s v="Apr 2024"/>
    <x v="0"/>
  </r>
  <r>
    <n v="10423"/>
    <x v="151"/>
    <s v="North West"/>
    <x v="3"/>
    <s v="Headset"/>
    <s v="Accessories"/>
    <n v="3"/>
    <n v="75"/>
    <n v="225"/>
    <s v="May 2023"/>
    <x v="0"/>
  </r>
  <r>
    <n v="10424"/>
    <x v="142"/>
    <s v="South East"/>
    <x v="3"/>
    <s v="Monitor"/>
    <s v="Electronics"/>
    <n v="3"/>
    <n v="220"/>
    <n v="660"/>
    <s v="May 2023"/>
    <x v="2"/>
  </r>
  <r>
    <n v="10425"/>
    <x v="204"/>
    <s v="North West"/>
    <x v="3"/>
    <s v="Keyboard"/>
    <s v="Accessories"/>
    <n v="1"/>
    <n v="45"/>
    <n v="45"/>
    <s v="Feb 2023"/>
    <x v="0"/>
  </r>
  <r>
    <n v="10426"/>
    <x v="283"/>
    <s v="Scotland"/>
    <x v="4"/>
    <s v="Monitor"/>
    <s v="Electronics"/>
    <n v="8"/>
    <n v="220"/>
    <n v="1760"/>
    <s v="Apr 2023"/>
    <x v="2"/>
  </r>
  <r>
    <n v="10427"/>
    <x v="284"/>
    <s v="South East"/>
    <x v="4"/>
    <s v="Monitor"/>
    <s v="Electronics"/>
    <n v="6"/>
    <n v="220"/>
    <n v="1320"/>
    <s v="Feb 2023"/>
    <x v="2"/>
  </r>
  <r>
    <n v="10428"/>
    <x v="285"/>
    <s v="Midlands"/>
    <x v="1"/>
    <s v="Headset"/>
    <s v="Accessories"/>
    <n v="12"/>
    <n v="75"/>
    <n v="900"/>
    <s v="Jul 2023"/>
    <x v="2"/>
  </r>
  <r>
    <n v="10429"/>
    <x v="96"/>
    <s v="Midlands"/>
    <x v="3"/>
    <s v="Keyboard"/>
    <s v="Accessories"/>
    <n v="13"/>
    <n v="45"/>
    <n v="585"/>
    <s v="Feb 2024"/>
    <x v="2"/>
  </r>
  <r>
    <n v="10430"/>
    <x v="249"/>
    <s v="South East"/>
    <x v="2"/>
    <s v="Docking Station"/>
    <s v="Accessories"/>
    <n v="8"/>
    <n v="180"/>
    <n v="1440"/>
    <s v="Aug 2023"/>
    <x v="2"/>
  </r>
  <r>
    <n v="10431"/>
    <x v="286"/>
    <s v="London"/>
    <x v="2"/>
    <s v="Docking Station"/>
    <s v="Accessories"/>
    <n v="11"/>
    <n v="180"/>
    <n v="1980"/>
    <s v="May 2023"/>
    <x v="2"/>
  </r>
  <r>
    <n v="10432"/>
    <x v="171"/>
    <s v="South East"/>
    <x v="3"/>
    <s v="Monitor"/>
    <s v="Electronics"/>
    <n v="9"/>
    <n v="220"/>
    <n v="1980"/>
    <s v="Jun 2023"/>
    <x v="2"/>
  </r>
  <r>
    <n v="10433"/>
    <x v="8"/>
    <s v="Scotland"/>
    <x v="3"/>
    <s v="Keyboard"/>
    <s v="Accessories"/>
    <n v="5"/>
    <n v="45"/>
    <n v="225"/>
    <s v="Aug 2023"/>
    <x v="0"/>
  </r>
  <r>
    <n v="10434"/>
    <x v="287"/>
    <s v="London"/>
    <x v="3"/>
    <s v="Keyboard"/>
    <s v="Accessories"/>
    <n v="14"/>
    <n v="45"/>
    <n v="630"/>
    <s v="Aug 2023"/>
    <x v="2"/>
  </r>
  <r>
    <n v="10435"/>
    <x v="159"/>
    <s v="Midlands"/>
    <x v="4"/>
    <s v="Headset"/>
    <s v="Accessories"/>
    <n v="12"/>
    <n v="75"/>
    <n v="900"/>
    <s v="Jan 2023"/>
    <x v="2"/>
  </r>
  <r>
    <n v="10436"/>
    <x v="288"/>
    <s v="South East"/>
    <x v="4"/>
    <s v="Mouse"/>
    <s v="Accessories"/>
    <n v="14"/>
    <n v="30"/>
    <n v="420"/>
    <s v="Mar 2023"/>
    <x v="0"/>
  </r>
  <r>
    <n v="10437"/>
    <x v="17"/>
    <s v="North West"/>
    <x v="4"/>
    <s v="Docking Station"/>
    <s v="Accessories"/>
    <n v="3"/>
    <n v="180"/>
    <n v="540"/>
    <s v="May 2024"/>
    <x v="2"/>
  </r>
  <r>
    <n v="10438"/>
    <x v="26"/>
    <s v="North West"/>
    <x v="0"/>
    <s v="Headset"/>
    <s v="Accessories"/>
    <n v="5"/>
    <n v="75"/>
    <n v="375"/>
    <s v="Sep 2023"/>
    <x v="0"/>
  </r>
  <r>
    <n v="10439"/>
    <x v="177"/>
    <s v="Scotland"/>
    <x v="2"/>
    <s v="Laptop"/>
    <s v="Electronics"/>
    <n v="5"/>
    <n v="850"/>
    <n v="4250"/>
    <s v="Aug 2023"/>
    <x v="1"/>
  </r>
  <r>
    <n v="10440"/>
    <x v="289"/>
    <s v="North West"/>
    <x v="2"/>
    <s v="Docking Station"/>
    <s v="Accessories"/>
    <n v="5"/>
    <n v="180"/>
    <n v="900"/>
    <s v="Jun 2024"/>
    <x v="2"/>
  </r>
  <r>
    <n v="10441"/>
    <x v="290"/>
    <s v="South East"/>
    <x v="1"/>
    <s v="Headset"/>
    <s v="Accessories"/>
    <n v="3"/>
    <n v="75"/>
    <n v="225"/>
    <s v="Jun 2023"/>
    <x v="0"/>
  </r>
  <r>
    <n v="10442"/>
    <x v="257"/>
    <s v="South East"/>
    <x v="4"/>
    <s v="Docking Station"/>
    <s v="Accessories"/>
    <n v="11"/>
    <n v="180"/>
    <n v="1980"/>
    <s v="Jun 2023"/>
    <x v="2"/>
  </r>
  <r>
    <n v="10443"/>
    <x v="291"/>
    <s v="North West"/>
    <x v="0"/>
    <s v="Mouse"/>
    <s v="Accessories"/>
    <n v="14"/>
    <n v="30"/>
    <n v="420"/>
    <s v="Jun 2023"/>
    <x v="0"/>
  </r>
  <r>
    <n v="10444"/>
    <x v="97"/>
    <s v="South East"/>
    <x v="0"/>
    <s v="Laptop"/>
    <s v="Electronics"/>
    <n v="10"/>
    <n v="850"/>
    <n v="8500"/>
    <s v="Jan 2024"/>
    <x v="1"/>
  </r>
  <r>
    <n v="10445"/>
    <x v="292"/>
    <s v="Scotland"/>
    <x v="2"/>
    <s v="Mouse"/>
    <s v="Accessories"/>
    <n v="14"/>
    <n v="30"/>
    <n v="420"/>
    <s v="Jul 2023"/>
    <x v="0"/>
  </r>
  <r>
    <n v="10446"/>
    <x v="293"/>
    <s v="London"/>
    <x v="4"/>
    <s v="Laptop"/>
    <s v="Electronics"/>
    <n v="4"/>
    <n v="850"/>
    <n v="3400"/>
    <s v="May 2024"/>
    <x v="1"/>
  </r>
  <r>
    <n v="10447"/>
    <x v="294"/>
    <s v="Scotland"/>
    <x v="1"/>
    <s v="Monitor"/>
    <s v="Electronics"/>
    <n v="9"/>
    <n v="220"/>
    <n v="1980"/>
    <s v="Jan 2023"/>
    <x v="2"/>
  </r>
  <r>
    <n v="10448"/>
    <x v="295"/>
    <s v="Scotland"/>
    <x v="4"/>
    <s v="Headset"/>
    <s v="Accessories"/>
    <n v="13"/>
    <n v="75"/>
    <n v="975"/>
    <s v="Jun 2023"/>
    <x v="2"/>
  </r>
  <r>
    <n v="10449"/>
    <x v="166"/>
    <s v="South East"/>
    <x v="3"/>
    <s v="Laptop"/>
    <s v="Electronics"/>
    <n v="10"/>
    <n v="850"/>
    <n v="8500"/>
    <s v="Feb 2024"/>
    <x v="1"/>
  </r>
  <r>
    <n v="10450"/>
    <x v="296"/>
    <s v="London"/>
    <x v="4"/>
    <s v="Mouse"/>
    <s v="Accessories"/>
    <n v="9"/>
    <n v="30"/>
    <n v="270"/>
    <s v="Dec 2023"/>
    <x v="0"/>
  </r>
  <r>
    <n v="10451"/>
    <x v="297"/>
    <s v="South East"/>
    <x v="3"/>
    <s v="Docking Station"/>
    <s v="Accessories"/>
    <n v="2"/>
    <n v="180"/>
    <n v="360"/>
    <s v="May 2024"/>
    <x v="0"/>
  </r>
  <r>
    <n v="10452"/>
    <x v="178"/>
    <s v="Midlands"/>
    <x v="3"/>
    <s v="Laptop"/>
    <s v="Electronics"/>
    <n v="8"/>
    <n v="850"/>
    <n v="6800"/>
    <s v="Dec 2023"/>
    <x v="1"/>
  </r>
  <r>
    <n v="10453"/>
    <x v="216"/>
    <s v="South East"/>
    <x v="1"/>
    <s v="Headset"/>
    <s v="Accessories"/>
    <n v="8"/>
    <n v="75"/>
    <n v="600"/>
    <s v="Dec 2023"/>
    <x v="2"/>
  </r>
  <r>
    <n v="10454"/>
    <x v="298"/>
    <s v="South East"/>
    <x v="2"/>
    <s v="Laptop"/>
    <s v="Electronics"/>
    <n v="7"/>
    <n v="850"/>
    <n v="5950"/>
    <s v="May 2024"/>
    <x v="1"/>
  </r>
  <r>
    <n v="10455"/>
    <x v="29"/>
    <s v="South East"/>
    <x v="4"/>
    <s v="Keyboard"/>
    <s v="Accessories"/>
    <n v="8"/>
    <n v="45"/>
    <n v="360"/>
    <s v="May 2024"/>
    <x v="0"/>
  </r>
  <r>
    <n v="10456"/>
    <x v="299"/>
    <s v="London"/>
    <x v="3"/>
    <s v="Docking Station"/>
    <s v="Accessories"/>
    <n v="14"/>
    <n v="180"/>
    <n v="2520"/>
    <s v="Nov 2023"/>
    <x v="1"/>
  </r>
  <r>
    <n v="10457"/>
    <x v="65"/>
    <s v="South East"/>
    <x v="4"/>
    <s v="Headset"/>
    <s v="Accessories"/>
    <n v="3"/>
    <n v="75"/>
    <n v="225"/>
    <s v="Aug 2023"/>
    <x v="0"/>
  </r>
  <r>
    <n v="10458"/>
    <x v="300"/>
    <s v="London"/>
    <x v="2"/>
    <s v="Headset"/>
    <s v="Accessories"/>
    <n v="13"/>
    <n v="75"/>
    <n v="975"/>
    <s v="Oct 2023"/>
    <x v="2"/>
  </r>
  <r>
    <n v="10459"/>
    <x v="301"/>
    <s v="North West"/>
    <x v="2"/>
    <s v="Monitor"/>
    <s v="Electronics"/>
    <n v="6"/>
    <n v="220"/>
    <n v="1320"/>
    <s v="May 2023"/>
    <x v="2"/>
  </r>
  <r>
    <n v="10460"/>
    <x v="302"/>
    <s v="Midlands"/>
    <x v="0"/>
    <s v="Mouse"/>
    <s v="Accessories"/>
    <n v="1"/>
    <n v="30"/>
    <n v="30"/>
    <s v="Mar 2023"/>
    <x v="0"/>
  </r>
  <r>
    <n v="10461"/>
    <x v="61"/>
    <s v="London"/>
    <x v="2"/>
    <s v="Monitor"/>
    <s v="Electronics"/>
    <n v="7"/>
    <n v="220"/>
    <n v="1540"/>
    <s v="Sep 2023"/>
    <x v="2"/>
  </r>
  <r>
    <n v="10462"/>
    <x v="152"/>
    <s v="North West"/>
    <x v="1"/>
    <s v="Headset"/>
    <s v="Accessories"/>
    <n v="1"/>
    <n v="75"/>
    <n v="75"/>
    <s v="Feb 2024"/>
    <x v="0"/>
  </r>
  <r>
    <n v="10463"/>
    <x v="277"/>
    <s v="London"/>
    <x v="3"/>
    <s v="Docking Station"/>
    <s v="Accessories"/>
    <n v="9"/>
    <n v="180"/>
    <n v="1620"/>
    <s v="Mar 2024"/>
    <x v="2"/>
  </r>
  <r>
    <n v="10464"/>
    <x v="303"/>
    <s v="London"/>
    <x v="0"/>
    <s v="Laptop"/>
    <s v="Electronics"/>
    <n v="1"/>
    <n v="850"/>
    <n v="850"/>
    <s v="Jul 2023"/>
    <x v="2"/>
  </r>
  <r>
    <n v="10465"/>
    <x v="35"/>
    <s v="Midlands"/>
    <x v="1"/>
    <s v="Laptop"/>
    <s v="Electronics"/>
    <n v="1"/>
    <n v="850"/>
    <n v="850"/>
    <s v="Jun 2023"/>
    <x v="2"/>
  </r>
  <r>
    <n v="10466"/>
    <x v="304"/>
    <s v="Scotland"/>
    <x v="4"/>
    <s v="Docking Station"/>
    <s v="Accessories"/>
    <n v="7"/>
    <n v="180"/>
    <n v="1260"/>
    <s v="Apr 2023"/>
    <x v="2"/>
  </r>
  <r>
    <n v="10467"/>
    <x v="305"/>
    <s v="Scotland"/>
    <x v="3"/>
    <s v="Headset"/>
    <s v="Accessories"/>
    <n v="2"/>
    <n v="75"/>
    <n v="150"/>
    <s v="Jun 2024"/>
    <x v="0"/>
  </r>
  <r>
    <n v="10468"/>
    <x v="204"/>
    <s v="London"/>
    <x v="2"/>
    <s v="Laptop"/>
    <s v="Electronics"/>
    <n v="14"/>
    <n v="850"/>
    <n v="11900"/>
    <s v="Feb 2023"/>
    <x v="1"/>
  </r>
  <r>
    <n v="10469"/>
    <x v="306"/>
    <s v="South East"/>
    <x v="3"/>
    <s v="Laptop"/>
    <s v="Electronics"/>
    <n v="5"/>
    <n v="850"/>
    <n v="4250"/>
    <s v="May 2023"/>
    <x v="1"/>
  </r>
  <r>
    <n v="10470"/>
    <x v="307"/>
    <s v="North West"/>
    <x v="4"/>
    <s v="Laptop"/>
    <s v="Electronics"/>
    <n v="8"/>
    <n v="850"/>
    <n v="6800"/>
    <s v="Mar 2024"/>
    <x v="1"/>
  </r>
  <r>
    <n v="10471"/>
    <x v="308"/>
    <s v="South East"/>
    <x v="0"/>
    <s v="Mouse"/>
    <s v="Accessories"/>
    <n v="8"/>
    <n v="30"/>
    <n v="240"/>
    <s v="Jun 2023"/>
    <x v="0"/>
  </r>
  <r>
    <n v="10472"/>
    <x v="129"/>
    <s v="South East"/>
    <x v="0"/>
    <s v="Mouse"/>
    <s v="Accessories"/>
    <n v="3"/>
    <n v="30"/>
    <n v="90"/>
    <s v="Aug 2023"/>
    <x v="0"/>
  </r>
  <r>
    <n v="10473"/>
    <x v="225"/>
    <s v="London"/>
    <x v="0"/>
    <s v="Keyboard"/>
    <s v="Accessories"/>
    <n v="7"/>
    <n v="45"/>
    <n v="315"/>
    <s v="Feb 2023"/>
    <x v="0"/>
  </r>
  <r>
    <n v="10474"/>
    <x v="30"/>
    <s v="London"/>
    <x v="2"/>
    <s v="Monitor"/>
    <s v="Electronics"/>
    <n v="3"/>
    <n v="220"/>
    <n v="660"/>
    <s v="Apr 2024"/>
    <x v="2"/>
  </r>
  <r>
    <n v="10475"/>
    <x v="59"/>
    <s v="London"/>
    <x v="1"/>
    <s v="Docking Station"/>
    <s v="Accessories"/>
    <n v="6"/>
    <n v="180"/>
    <n v="1080"/>
    <s v="Mar 2024"/>
    <x v="2"/>
  </r>
  <r>
    <n v="10476"/>
    <x v="309"/>
    <s v="London"/>
    <x v="1"/>
    <s v="Docking Station"/>
    <s v="Accessories"/>
    <n v="6"/>
    <n v="180"/>
    <n v="1080"/>
    <s v="Dec 2023"/>
    <x v="2"/>
  </r>
  <r>
    <n v="10477"/>
    <x v="310"/>
    <s v="Scotland"/>
    <x v="3"/>
    <s v="Docking Station"/>
    <s v="Accessories"/>
    <n v="3"/>
    <n v="180"/>
    <n v="540"/>
    <s v="Jan 2023"/>
    <x v="2"/>
  </r>
  <r>
    <n v="10478"/>
    <x v="128"/>
    <s v="London"/>
    <x v="2"/>
    <s v="Keyboard"/>
    <s v="Accessories"/>
    <n v="7"/>
    <n v="45"/>
    <n v="315"/>
    <s v="Jan 2024"/>
    <x v="0"/>
  </r>
  <r>
    <n v="10479"/>
    <x v="110"/>
    <s v="Scotland"/>
    <x v="0"/>
    <s v="Mouse"/>
    <s v="Accessories"/>
    <n v="3"/>
    <n v="30"/>
    <n v="90"/>
    <s v="Dec 2023"/>
    <x v="0"/>
  </r>
  <r>
    <n v="10480"/>
    <x v="31"/>
    <s v="Scotland"/>
    <x v="0"/>
    <s v="Headset"/>
    <s v="Accessories"/>
    <n v="8"/>
    <n v="75"/>
    <n v="600"/>
    <s v="Jul 2023"/>
    <x v="2"/>
  </r>
  <r>
    <n v="10481"/>
    <x v="33"/>
    <s v="London"/>
    <x v="4"/>
    <s v="Headset"/>
    <s v="Accessories"/>
    <n v="10"/>
    <n v="75"/>
    <n v="750"/>
    <s v="May 2024"/>
    <x v="2"/>
  </r>
  <r>
    <n v="10482"/>
    <x v="195"/>
    <s v="Midlands"/>
    <x v="4"/>
    <s v="Keyboard"/>
    <s v="Accessories"/>
    <n v="4"/>
    <n v="45"/>
    <n v="180"/>
    <s v="Jul 2023"/>
    <x v="0"/>
  </r>
  <r>
    <n v="10483"/>
    <x v="311"/>
    <s v="North West"/>
    <x v="0"/>
    <s v="Headset"/>
    <s v="Accessories"/>
    <n v="13"/>
    <n v="75"/>
    <n v="975"/>
    <s v="May 2024"/>
    <x v="2"/>
  </r>
  <r>
    <n v="10484"/>
    <x v="270"/>
    <s v="South East"/>
    <x v="0"/>
    <s v="Docking Station"/>
    <s v="Accessories"/>
    <n v="1"/>
    <n v="180"/>
    <n v="180"/>
    <s v="Jan 2024"/>
    <x v="0"/>
  </r>
  <r>
    <n v="10485"/>
    <x v="312"/>
    <s v="Scotland"/>
    <x v="2"/>
    <s v="Monitor"/>
    <s v="Electronics"/>
    <n v="4"/>
    <n v="220"/>
    <n v="880"/>
    <s v="Feb 2024"/>
    <x v="2"/>
  </r>
  <r>
    <n v="10486"/>
    <x v="227"/>
    <s v="North West"/>
    <x v="1"/>
    <s v="Laptop"/>
    <s v="Electronics"/>
    <n v="14"/>
    <n v="850"/>
    <n v="11900"/>
    <s v="Apr 2023"/>
    <x v="1"/>
  </r>
  <r>
    <n v="10487"/>
    <x v="313"/>
    <s v="Midlands"/>
    <x v="4"/>
    <s v="Mouse"/>
    <s v="Accessories"/>
    <n v="7"/>
    <n v="30"/>
    <n v="210"/>
    <s v="May 2023"/>
    <x v="0"/>
  </r>
  <r>
    <n v="10488"/>
    <x v="225"/>
    <s v="South East"/>
    <x v="1"/>
    <s v="Mouse"/>
    <s v="Accessories"/>
    <n v="11"/>
    <n v="30"/>
    <n v="330"/>
    <s v="Feb 2023"/>
    <x v="0"/>
  </r>
  <r>
    <n v="10489"/>
    <x v="308"/>
    <s v="South East"/>
    <x v="2"/>
    <s v="Keyboard"/>
    <s v="Accessories"/>
    <n v="4"/>
    <n v="45"/>
    <n v="180"/>
    <s v="Jun 2023"/>
    <x v="0"/>
  </r>
  <r>
    <n v="10490"/>
    <x v="314"/>
    <s v="Scotland"/>
    <x v="0"/>
    <s v="Mouse"/>
    <s v="Accessories"/>
    <n v="13"/>
    <n v="30"/>
    <n v="390"/>
    <s v="May 2023"/>
    <x v="0"/>
  </r>
  <r>
    <n v="10491"/>
    <x v="315"/>
    <s v="London"/>
    <x v="1"/>
    <s v="Docking Station"/>
    <s v="Accessories"/>
    <n v="6"/>
    <n v="180"/>
    <n v="1080"/>
    <s v="Mar 2023"/>
    <x v="2"/>
  </r>
  <r>
    <n v="10492"/>
    <x v="316"/>
    <s v="Midlands"/>
    <x v="0"/>
    <s v="Headset"/>
    <s v="Accessories"/>
    <n v="9"/>
    <n v="75"/>
    <n v="675"/>
    <s v="Aug 2023"/>
    <x v="2"/>
  </r>
  <r>
    <n v="10493"/>
    <x v="135"/>
    <s v="Scotland"/>
    <x v="0"/>
    <s v="Docking Station"/>
    <s v="Accessories"/>
    <n v="1"/>
    <n v="180"/>
    <n v="180"/>
    <s v="Jul 2023"/>
    <x v="0"/>
  </r>
  <r>
    <n v="10494"/>
    <x v="317"/>
    <s v="Midlands"/>
    <x v="3"/>
    <s v="Keyboard"/>
    <s v="Accessories"/>
    <n v="13"/>
    <n v="45"/>
    <n v="585"/>
    <s v="Aug 2023"/>
    <x v="2"/>
  </r>
  <r>
    <n v="10495"/>
    <x v="168"/>
    <s v="London"/>
    <x v="1"/>
    <s v="Docking Station"/>
    <s v="Accessories"/>
    <n v="5"/>
    <n v="180"/>
    <n v="900"/>
    <s v="Aug 2023"/>
    <x v="2"/>
  </r>
  <r>
    <n v="10496"/>
    <x v="318"/>
    <s v="London"/>
    <x v="1"/>
    <s v="Headset"/>
    <s v="Accessories"/>
    <n v="11"/>
    <n v="75"/>
    <n v="825"/>
    <s v="Jun 2024"/>
    <x v="2"/>
  </r>
  <r>
    <n v="10497"/>
    <x v="319"/>
    <s v="Scotland"/>
    <x v="0"/>
    <s v="Monitor"/>
    <s v="Electronics"/>
    <n v="7"/>
    <n v="220"/>
    <n v="1540"/>
    <s v="Mar 2024"/>
    <x v="2"/>
  </r>
  <r>
    <n v="10498"/>
    <x v="55"/>
    <s v="London"/>
    <x v="2"/>
    <s v="Keyboard"/>
    <s v="Accessories"/>
    <n v="1"/>
    <n v="45"/>
    <n v="45"/>
    <s v="Feb 2024"/>
    <x v="0"/>
  </r>
  <r>
    <n v="10499"/>
    <x v="222"/>
    <s v="North West"/>
    <x v="3"/>
    <s v="Monitor"/>
    <s v="Electronics"/>
    <n v="14"/>
    <n v="220"/>
    <n v="3080"/>
    <s v="Feb 2023"/>
    <x v="1"/>
  </r>
  <r>
    <n v="10500"/>
    <x v="122"/>
    <s v="South East"/>
    <x v="0"/>
    <s v="Laptop"/>
    <s v="Electronics"/>
    <n v="4"/>
    <n v="850"/>
    <n v="3400"/>
    <s v="Aug 2023"/>
    <x v="1"/>
  </r>
  <r>
    <m/>
    <x v="320"/>
    <m/>
    <x v="5"/>
    <m/>
    <m/>
    <m/>
    <m/>
    <m/>
    <m/>
    <x v="3"/>
  </r>
  <r>
    <m/>
    <x v="320"/>
    <m/>
    <x v="5"/>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F7AA0F-AD33-4BA2-9DFB-093452C98D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1">
    <pivotField dataField="1" showAll="0"/>
    <pivotField showAll="0"/>
    <pivotField showAll="0"/>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Total Revenue" fld="8" baseField="0" baseItem="1" numFmtId="166"/>
    <dataField name="Count of Order ID" fld="0" subtotal="count" baseField="0" baseItem="1"/>
  </dataFields>
  <formats count="5">
    <format dxfId="221">
      <pivotArea outline="0" collapsedLevelsAreSubtotals="1" fieldPosition="0">
        <references count="1">
          <reference field="4294967294" count="1" selected="0">
            <x v="1"/>
          </reference>
        </references>
      </pivotArea>
    </format>
    <format dxfId="220">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86D3A7-E1E9-4849-9885-10F7827129F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3:B9" firstHeaderRow="1" firstDataRow="1" firstDataCol="1"/>
  <pivotFields count="11">
    <pivotField showAll="0"/>
    <pivotField showAll="0"/>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showAll="0">
      <items count="7">
        <item x="2"/>
        <item x="0"/>
        <item x="3"/>
        <item x="4"/>
        <item x="1"/>
        <item x="5"/>
        <item t="default"/>
      </items>
    </pivotField>
    <pivotField showAll="0">
      <items count="3">
        <item x="0"/>
        <item x="1"/>
        <item t="default"/>
      </items>
    </pivotField>
    <pivotField showAll="0"/>
    <pivotField showAll="0"/>
    <pivotField dataField="1" showAll="0"/>
    <pivotField showAll="0">
      <items count="19">
        <item x="0"/>
        <item x="6"/>
        <item x="7"/>
        <item x="10"/>
        <item x="16"/>
        <item x="12"/>
        <item x="4"/>
        <item x="9"/>
        <item x="13"/>
        <item x="15"/>
        <item x="17"/>
        <item x="3"/>
        <item x="1"/>
        <item x="5"/>
        <item x="11"/>
        <item x="8"/>
        <item x="14"/>
        <item x="2"/>
        <item t="default"/>
      </items>
    </pivotField>
    <pivotField showAll="0"/>
  </pivotFields>
  <rowFields count="1">
    <field x="2"/>
  </rowFields>
  <rowItems count="6">
    <i>
      <x/>
    </i>
    <i>
      <x v="3"/>
    </i>
    <i>
      <x v="4"/>
    </i>
    <i>
      <x v="2"/>
    </i>
    <i>
      <x v="1"/>
    </i>
    <i t="grand">
      <x/>
    </i>
  </rowItems>
  <colItems count="1">
    <i/>
  </colItems>
  <dataFields count="1">
    <dataField name="Total Revenue" fld="8" baseField="2" baseItem="0"/>
  </dataFields>
  <formats count="3">
    <format dxfId="219">
      <pivotArea collapsedLevelsAreSubtotals="1" fieldPosition="0">
        <references count="1">
          <reference field="2" count="5">
            <x v="0"/>
            <x v="1"/>
            <x v="2"/>
            <x v="3"/>
            <x v="4"/>
          </reference>
        </references>
      </pivotArea>
    </format>
    <format dxfId="17">
      <pivotArea grandRow="1" outline="0" collapsedLevelsAreSubtotals="1" fieldPosition="0"/>
    </format>
    <format dxfId="15">
      <pivotArea collapsedLevelsAreSubtotals="1" fieldPosition="0">
        <references count="1">
          <reference field="2" count="0"/>
        </references>
      </pivotArea>
    </format>
  </formats>
  <chartFormats count="6">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4"/>
          </reference>
        </references>
      </pivotArea>
    </chartFormat>
    <chartFormat chart="5" format="5">
      <pivotArea type="data" outline="0" fieldPosition="0">
        <references count="2">
          <reference field="4294967294" count="1" selected="0">
            <x v="0"/>
          </reference>
          <reference field="2" count="1" selected="0">
            <x v="3"/>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55072A-79C8-4AB8-AFC4-4258AE8B103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1">
    <pivotField showAll="0"/>
    <pivotField showAll="0"/>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showAll="0">
      <items count="7">
        <item x="2"/>
        <item x="0"/>
        <item x="3"/>
        <item x="4"/>
        <item x="1"/>
        <item x="5"/>
        <item t="default"/>
      </items>
    </pivotField>
    <pivotField showAll="0">
      <items count="3">
        <item x="0"/>
        <item x="1"/>
        <item t="default"/>
      </items>
    </pivotField>
    <pivotField showAll="0"/>
    <pivotField showAll="0"/>
    <pivotField dataField="1" showAll="0"/>
    <pivotField showAll="0">
      <items count="19">
        <item x="0"/>
        <item x="6"/>
        <item x="7"/>
        <item x="10"/>
        <item x="16"/>
        <item x="12"/>
        <item x="4"/>
        <item x="9"/>
        <item x="13"/>
        <item x="15"/>
        <item x="17"/>
        <item x="3"/>
        <item x="1"/>
        <item x="5"/>
        <item x="11"/>
        <item x="8"/>
        <item x="14"/>
        <item x="2"/>
        <item t="default"/>
      </items>
    </pivotField>
    <pivotField showAll="0"/>
  </pivotFields>
  <rowFields count="1">
    <field x="2"/>
  </rowFields>
  <rowItems count="6">
    <i>
      <x/>
    </i>
    <i>
      <x v="3"/>
    </i>
    <i>
      <x v="4"/>
    </i>
    <i>
      <x v="2"/>
    </i>
    <i>
      <x v="1"/>
    </i>
    <i t="grand">
      <x/>
    </i>
  </rowItems>
  <colItems count="1">
    <i/>
  </colItems>
  <dataFields count="1">
    <dataField name="Total Revenue " fld="8" baseField="2" baseItem="0"/>
  </dataFields>
  <formats count="2">
    <format dxfId="216">
      <pivotArea collapsedLevelsAreSubtotals="1" fieldPosition="0">
        <references count="1">
          <reference field="2" count="5">
            <x v="0"/>
            <x v="1"/>
            <x v="2"/>
            <x v="3"/>
            <x v="4"/>
          </reference>
        </references>
      </pivotArea>
    </format>
    <format dxfId="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29C7A6-B5A4-4369-AF25-F099903690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showAll="0"/>
    <pivotField showAll="0"/>
    <pivotField axis="axisRow" showAll="0" sortType="descending">
      <items count="7">
        <item x="1"/>
        <item x="2"/>
        <item x="4"/>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2"/>
  </rowFields>
  <rowItems count="7">
    <i>
      <x/>
    </i>
    <i>
      <x v="3"/>
    </i>
    <i>
      <x v="4"/>
    </i>
    <i>
      <x v="2"/>
    </i>
    <i>
      <x v="1"/>
    </i>
    <i>
      <x v="5"/>
    </i>
    <i t="grand">
      <x/>
    </i>
  </rowItems>
  <colItems count="1">
    <i/>
  </colItems>
  <dataFields count="1">
    <dataField name="% of Revenue" fld="8" showDataAs="percentOfTotal" baseField="0" baseItem="0" numFmtId="10"/>
  </dataFields>
  <formats count="2">
    <format dxfId="218">
      <pivotArea collapsedLevelsAreSubtotals="1" fieldPosition="0">
        <references count="1">
          <reference field="2" count="5">
            <x v="0"/>
            <x v="1"/>
            <x v="2"/>
            <x v="3"/>
            <x v="4"/>
          </reference>
        </references>
      </pivotArea>
    </format>
    <format dxfId="2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9051C-EDE5-4177-8FE3-A4CC428A2EE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1">
    <pivotField showAll="0"/>
    <pivotField showAll="0"/>
    <pivotField showAll="0">
      <items count="6">
        <item x="1"/>
        <item x="2"/>
        <item x="4"/>
        <item x="3"/>
        <item x="0"/>
        <item t="default"/>
      </items>
    </pivotField>
    <pivotField showAll="0">
      <items count="6">
        <item x="1"/>
        <item x="4"/>
        <item x="3"/>
        <item x="0"/>
        <item x="2"/>
        <item t="default"/>
      </items>
    </pivotField>
    <pivotField axis="axisRow" showAll="0" sortType="descending">
      <items count="7">
        <item x="2"/>
        <item x="0"/>
        <item x="3"/>
        <item x="4"/>
        <item x="1"/>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pivotField showAll="0">
      <items count="19">
        <item x="0"/>
        <item x="6"/>
        <item x="7"/>
        <item x="10"/>
        <item x="16"/>
        <item x="12"/>
        <item x="4"/>
        <item x="9"/>
        <item x="13"/>
        <item x="15"/>
        <item x="17"/>
        <item x="3"/>
        <item x="1"/>
        <item x="5"/>
        <item x="11"/>
        <item x="8"/>
        <item x="14"/>
        <item x="2"/>
        <item t="default"/>
      </items>
    </pivotField>
    <pivotField showAll="0">
      <items count="4">
        <item x="1"/>
        <item x="2"/>
        <item x="0"/>
        <item t="default"/>
      </items>
    </pivotField>
  </pivotFields>
  <rowFields count="1">
    <field x="4"/>
  </rowFields>
  <rowItems count="7">
    <i>
      <x v="3"/>
    </i>
    <i>
      <x v="4"/>
    </i>
    <i>
      <x/>
    </i>
    <i>
      <x v="1"/>
    </i>
    <i>
      <x v="2"/>
    </i>
    <i>
      <x v="5"/>
    </i>
    <i t="grand">
      <x/>
    </i>
  </rowItems>
  <colItems count="1">
    <i/>
  </colItems>
  <dataFields count="1">
    <dataField name="Total Revenue" fld="8" baseField="0" baseItem="0"/>
  </dataFields>
  <formats count="3">
    <format dxfId="215">
      <pivotArea collapsedLevelsAreSubtotals="1" fieldPosition="0">
        <references count="1">
          <reference field="4" count="6">
            <x v="0"/>
            <x v="1"/>
            <x v="2"/>
            <x v="3"/>
            <x v="4"/>
            <x v="5"/>
          </reference>
        </references>
      </pivotArea>
    </format>
    <format dxfId="29">
      <pivotArea grandRow="1" outline="0" collapsedLevelsAreSubtotals="1" fieldPosition="0"/>
    </format>
    <format dxfId="27">
      <pivotArea collapsedLevelsAreSubtotals="1" fieldPosition="0">
        <references count="1">
          <reference field="4" count="0"/>
        </references>
      </pivotArea>
    </format>
  </formats>
  <chartFormats count="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3"/>
          </reference>
        </references>
      </pivotArea>
    </chartFormat>
    <chartFormat chart="1" format="3">
      <pivotArea type="data" outline="0" fieldPosition="0">
        <references count="2">
          <reference field="4294967294" count="1" selected="0">
            <x v="0"/>
          </reference>
          <reference field="4" count="1" selected="0">
            <x v="4"/>
          </reference>
        </references>
      </pivotArea>
    </chartFormat>
    <chartFormat chart="1" format="4">
      <pivotArea type="data" outline="0" fieldPosition="0">
        <references count="2">
          <reference field="4294967294" count="1" selected="0">
            <x v="0"/>
          </reference>
          <reference field="4" count="1" selected="0">
            <x v="0"/>
          </reference>
        </references>
      </pivotArea>
    </chartFormat>
    <chartFormat chart="1" format="5">
      <pivotArea type="data" outline="0" fieldPosition="0">
        <references count="2">
          <reference field="4294967294" count="1" selected="0">
            <x v="0"/>
          </reference>
          <reference field="4" count="1" selected="0">
            <x v="1"/>
          </reference>
        </references>
      </pivotArea>
    </chartFormat>
    <chartFormat chart="1" format="6">
      <pivotArea type="data" outline="0" fieldPosition="0">
        <references count="2">
          <reference field="4294967294" count="1" selected="0">
            <x v="0"/>
          </reference>
          <reference field="4" count="1" selected="0">
            <x v="2"/>
          </reference>
        </references>
      </pivotArea>
    </chartFormat>
    <chartFormat chart="1" format="7">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4CD535-9363-43F6-AC51-4B8C181D194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3">
    <pivotField dataField="1" showAll="0"/>
    <pivotField showAll="0">
      <items count="322">
        <item x="310"/>
        <item x="51"/>
        <item x="94"/>
        <item x="159"/>
        <item x="260"/>
        <item x="39"/>
        <item x="71"/>
        <item x="251"/>
        <item x="187"/>
        <item x="199"/>
        <item x="274"/>
        <item x="207"/>
        <item x="5"/>
        <item x="25"/>
        <item x="246"/>
        <item x="280"/>
        <item x="180"/>
        <item x="85"/>
        <item x="294"/>
        <item x="88"/>
        <item x="48"/>
        <item x="104"/>
        <item x="158"/>
        <item x="176"/>
        <item x="204"/>
        <item x="69"/>
        <item x="284"/>
        <item x="258"/>
        <item x="190"/>
        <item x="222"/>
        <item x="89"/>
        <item x="185"/>
        <item x="213"/>
        <item x="64"/>
        <item x="163"/>
        <item x="225"/>
        <item x="28"/>
        <item x="273"/>
        <item x="76"/>
        <item x="72"/>
        <item x="240"/>
        <item x="302"/>
        <item x="4"/>
        <item x="288"/>
        <item x="265"/>
        <item x="236"/>
        <item x="315"/>
        <item x="50"/>
        <item x="108"/>
        <item x="11"/>
        <item x="261"/>
        <item x="304"/>
        <item x="43"/>
        <item x="241"/>
        <item x="101"/>
        <item x="92"/>
        <item x="13"/>
        <item x="0"/>
        <item x="167"/>
        <item x="53"/>
        <item x="3"/>
        <item x="283"/>
        <item x="169"/>
        <item x="123"/>
        <item x="263"/>
        <item x="194"/>
        <item x="227"/>
        <item x="230"/>
        <item x="164"/>
        <item x="6"/>
        <item x="137"/>
        <item x="143"/>
        <item x="214"/>
        <item x="306"/>
        <item x="228"/>
        <item x="198"/>
        <item x="74"/>
        <item x="131"/>
        <item x="14"/>
        <item x="301"/>
        <item x="286"/>
        <item x="313"/>
        <item x="86"/>
        <item x="77"/>
        <item x="211"/>
        <item x="142"/>
        <item x="148"/>
        <item x="149"/>
        <item x="314"/>
        <item x="215"/>
        <item x="151"/>
        <item x="162"/>
        <item x="170"/>
        <item x="237"/>
        <item x="201"/>
        <item x="70"/>
        <item x="189"/>
        <item x="106"/>
        <item x="22"/>
        <item x="56"/>
        <item x="171"/>
        <item x="295"/>
        <item x="35"/>
        <item x="257"/>
        <item x="291"/>
        <item x="102"/>
        <item x="188"/>
        <item x="308"/>
        <item x="290"/>
        <item x="203"/>
        <item x="275"/>
        <item x="248"/>
        <item x="193"/>
        <item x="303"/>
        <item x="136"/>
        <item x="285"/>
        <item x="144"/>
        <item x="66"/>
        <item x="234"/>
        <item x="31"/>
        <item x="195"/>
        <item x="20"/>
        <item x="292"/>
        <item x="173"/>
        <item x="220"/>
        <item x="141"/>
        <item x="87"/>
        <item x="57"/>
        <item x="135"/>
        <item x="242"/>
        <item x="49"/>
        <item x="98"/>
        <item x="160"/>
        <item x="316"/>
        <item x="8"/>
        <item x="65"/>
        <item x="95"/>
        <item x="129"/>
        <item x="249"/>
        <item x="112"/>
        <item x="181"/>
        <item x="168"/>
        <item x="317"/>
        <item x="177"/>
        <item x="84"/>
        <item x="122"/>
        <item x="120"/>
        <item x="287"/>
        <item x="232"/>
        <item x="100"/>
        <item x="40"/>
        <item x="107"/>
        <item x="32"/>
        <item x="202"/>
        <item x="133"/>
        <item x="61"/>
        <item x="26"/>
        <item x="156"/>
        <item x="196"/>
        <item x="253"/>
        <item x="116"/>
        <item x="154"/>
        <item x="219"/>
        <item x="278"/>
        <item x="126"/>
        <item x="223"/>
        <item x="58"/>
        <item x="2"/>
        <item x="233"/>
        <item x="272"/>
        <item x="36"/>
        <item x="21"/>
        <item x="271"/>
        <item x="140"/>
        <item x="115"/>
        <item x="182"/>
        <item x="239"/>
        <item x="200"/>
        <item x="81"/>
        <item x="139"/>
        <item x="62"/>
        <item x="153"/>
        <item x="300"/>
        <item x="192"/>
        <item x="155"/>
        <item x="217"/>
        <item x="15"/>
        <item x="24"/>
        <item x="38"/>
        <item x="119"/>
        <item x="208"/>
        <item x="197"/>
        <item x="250"/>
        <item x="145"/>
        <item x="299"/>
        <item x="9"/>
        <item x="252"/>
        <item x="63"/>
        <item x="296"/>
        <item x="42"/>
        <item x="244"/>
        <item x="216"/>
        <item x="16"/>
        <item x="41"/>
        <item x="110"/>
        <item x="147"/>
        <item x="221"/>
        <item x="212"/>
        <item x="245"/>
        <item x="117"/>
        <item x="309"/>
        <item x="178"/>
        <item x="44"/>
        <item x="270"/>
        <item x="224"/>
        <item x="12"/>
        <item x="121"/>
        <item x="175"/>
        <item x="267"/>
        <item x="114"/>
        <item x="82"/>
        <item x="67"/>
        <item x="279"/>
        <item x="113"/>
        <item x="19"/>
        <item x="128"/>
        <item x="37"/>
        <item x="52"/>
        <item x="79"/>
        <item x="97"/>
        <item x="268"/>
        <item x="276"/>
        <item x="259"/>
        <item x="96"/>
        <item x="209"/>
        <item x="138"/>
        <item x="55"/>
        <item x="130"/>
        <item x="161"/>
        <item x="91"/>
        <item x="206"/>
        <item x="312"/>
        <item x="118"/>
        <item x="266"/>
        <item x="18"/>
        <item x="152"/>
        <item x="132"/>
        <item x="256"/>
        <item x="262"/>
        <item x="80"/>
        <item x="165"/>
        <item x="166"/>
        <item x="255"/>
        <item x="46"/>
        <item x="243"/>
        <item x="238"/>
        <item x="1"/>
        <item x="179"/>
        <item x="134"/>
        <item x="319"/>
        <item x="125"/>
        <item x="218"/>
        <item x="277"/>
        <item x="235"/>
        <item x="307"/>
        <item x="157"/>
        <item x="45"/>
        <item x="59"/>
        <item x="269"/>
        <item x="10"/>
        <item x="23"/>
        <item x="99"/>
        <item x="60"/>
        <item x="146"/>
        <item x="7"/>
        <item x="281"/>
        <item x="174"/>
        <item x="210"/>
        <item x="75"/>
        <item x="111"/>
        <item x="226"/>
        <item x="27"/>
        <item x="30"/>
        <item x="54"/>
        <item x="183"/>
        <item x="282"/>
        <item x="34"/>
        <item x="231"/>
        <item x="150"/>
        <item x="83"/>
        <item x="17"/>
        <item x="68"/>
        <item x="297"/>
        <item x="124"/>
        <item x="78"/>
        <item x="298"/>
        <item x="264"/>
        <item x="90"/>
        <item x="172"/>
        <item x="33"/>
        <item x="109"/>
        <item x="311"/>
        <item x="47"/>
        <item x="127"/>
        <item x="29"/>
        <item x="186"/>
        <item x="229"/>
        <item x="184"/>
        <item x="293"/>
        <item x="191"/>
        <item x="289"/>
        <item x="73"/>
        <item x="247"/>
        <item x="105"/>
        <item x="305"/>
        <item x="318"/>
        <item x="205"/>
        <item x="103"/>
        <item x="254"/>
        <item x="93"/>
        <item x="320"/>
        <item t="default"/>
      </items>
    </pivotField>
    <pivotField showAll="0"/>
    <pivotField showAll="0">
      <items count="7">
        <item x="1"/>
        <item x="4"/>
        <item x="3"/>
        <item x="0"/>
        <item x="2"/>
        <item x="5"/>
        <item t="default"/>
      </items>
    </pivotField>
    <pivotField showAll="0"/>
    <pivotField showAll="0"/>
    <pivotField showAll="0"/>
    <pivotField showAll="0"/>
    <pivotField dataField="1" showAll="0"/>
    <pivotField showAll="0"/>
    <pivotField axis="axisRow" showAll="0">
      <items count="5">
        <item x="1"/>
        <item x="2"/>
        <item x="0"/>
        <item x="3"/>
        <item t="default"/>
      </items>
    </pivotField>
    <pivotField showAll="0" defaultSubtotal="0"/>
    <pivotField showAll="0" defaultSubtotal="0">
      <items count="4">
        <item x="0"/>
        <item x="1"/>
        <item x="2"/>
        <item x="3"/>
      </items>
    </pivotField>
  </pivotFields>
  <rowFields count="1">
    <field x="10"/>
  </rowFields>
  <rowItems count="5">
    <i>
      <x/>
    </i>
    <i>
      <x v="1"/>
    </i>
    <i>
      <x v="2"/>
    </i>
    <i>
      <x v="3"/>
    </i>
    <i t="grand">
      <x/>
    </i>
  </rowItems>
  <colFields count="1">
    <field x="-2"/>
  </colFields>
  <colItems count="2">
    <i>
      <x/>
    </i>
    <i i="1">
      <x v="1"/>
    </i>
  </colItems>
  <dataFields count="2">
    <dataField name="% of Revenue" fld="8" showDataAs="percentOfTotal" baseField="0" baseItem="0" numFmtId="10"/>
    <dataField name="% of Orders" fld="0" subtotal="count" showDataAs="percentOfTotal" baseField="10" baseItem="0" numFmtId="10"/>
  </dataFields>
  <formats count="4">
    <format dxfId="187">
      <pivotArea collapsedLevelsAreSubtotals="1" fieldPosition="0">
        <references count="1">
          <reference field="10" count="3">
            <x v="0"/>
            <x v="1"/>
            <x v="2"/>
          </reference>
        </references>
      </pivotArea>
    </format>
    <format dxfId="184">
      <pivotArea outline="0" fieldPosition="0">
        <references count="1">
          <reference field="4294967294" count="1">
            <x v="0"/>
          </reference>
        </references>
      </pivotArea>
    </format>
    <format dxfId="183">
      <pivotArea dataOnly="0" fieldPosition="0">
        <references count="1">
          <reference field="10" count="3">
            <x v="0"/>
            <x v="1"/>
            <x v="2"/>
          </reference>
        </references>
      </pivotArea>
    </format>
    <format dxfId="14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326D3D-3D16-45BA-ADED-8F85D273DAD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1">
    <pivotField showAll="0"/>
    <pivotField showAll="0"/>
    <pivotField showAll="0">
      <items count="6">
        <item x="1"/>
        <item x="2"/>
        <item x="4"/>
        <item x="3"/>
        <item x="0"/>
        <item t="default"/>
      </items>
    </pivotField>
    <pivotField showAll="0">
      <items count="6">
        <item x="1"/>
        <item x="4"/>
        <item x="3"/>
        <item x="0"/>
        <item x="2"/>
        <item t="default"/>
      </items>
    </pivotField>
    <pivotField showAll="0">
      <items count="7">
        <item x="2"/>
        <item x="0"/>
        <item x="3"/>
        <item x="4"/>
        <item x="1"/>
        <item x="5"/>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9">
        <item x="0"/>
        <item x="6"/>
        <item x="7"/>
        <item x="10"/>
        <item x="16"/>
        <item x="12"/>
        <item x="4"/>
        <item x="9"/>
        <item x="13"/>
        <item x="15"/>
        <item x="17"/>
        <item x="3"/>
        <item x="1"/>
        <item x="5"/>
        <item x="11"/>
        <item x="8"/>
        <item x="14"/>
        <item x="2"/>
        <item t="default"/>
      </items>
    </pivotField>
    <pivotField showAll="0"/>
  </pivotFields>
  <rowFields count="1">
    <field x="5"/>
  </rowFields>
  <rowItems count="3">
    <i>
      <x v="1"/>
    </i>
    <i>
      <x/>
    </i>
    <i t="grand">
      <x/>
    </i>
  </rowItems>
  <colItems count="1">
    <i/>
  </colItems>
  <dataFields count="1">
    <dataField name="% of Revennue" fld="8" showDataAs="percentOfTotal" baseField="0" baseItem="0" numFmtId="10"/>
  </dataFields>
  <formats count="1">
    <format dxfId="26">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4A328D-4BA6-420C-BFB0-478158B4C91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1">
    <pivotField dataField="1" showAll="0"/>
    <pivotField showAll="0"/>
    <pivotField showAll="0">
      <items count="6">
        <item x="1"/>
        <item x="2"/>
        <item x="4"/>
        <item x="3"/>
        <item x="0"/>
        <item t="default"/>
      </items>
    </pivotField>
    <pivotField axis="axisRow" showAll="0" sortType="descending">
      <items count="6">
        <item x="1"/>
        <item x="4"/>
        <item x="3"/>
        <item x="0"/>
        <item x="2"/>
        <item t="default"/>
      </items>
      <autoSortScope>
        <pivotArea dataOnly="0" outline="0" fieldPosition="0">
          <references count="1">
            <reference field="4294967294" count="1" selected="0">
              <x v="1"/>
            </reference>
          </references>
        </pivotArea>
      </autoSortScope>
    </pivotField>
    <pivotField showAll="0">
      <items count="7">
        <item x="2"/>
        <item x="0"/>
        <item x="3"/>
        <item x="4"/>
        <item x="1"/>
        <item x="5"/>
        <item t="default"/>
      </items>
    </pivotField>
    <pivotField showAll="0">
      <items count="3">
        <item x="0"/>
        <item x="1"/>
        <item t="default"/>
      </items>
    </pivotField>
    <pivotField showAll="0"/>
    <pivotField showAll="0"/>
    <pivotField dataField="1" showAll="0"/>
    <pivotField showAll="0">
      <items count="19">
        <item x="0"/>
        <item x="6"/>
        <item x="7"/>
        <item x="10"/>
        <item x="16"/>
        <item x="12"/>
        <item x="4"/>
        <item x="9"/>
        <item x="13"/>
        <item x="15"/>
        <item x="17"/>
        <item x="3"/>
        <item x="1"/>
        <item x="5"/>
        <item x="11"/>
        <item x="8"/>
        <item x="14"/>
        <item x="2"/>
        <item t="default"/>
      </items>
    </pivotField>
    <pivotField showAll="0"/>
  </pivotFields>
  <rowFields count="1">
    <field x="3"/>
  </rowFields>
  <rowItems count="6">
    <i>
      <x v="4"/>
    </i>
    <i>
      <x/>
    </i>
    <i>
      <x v="1"/>
    </i>
    <i>
      <x v="3"/>
    </i>
    <i>
      <x v="2"/>
    </i>
    <i t="grand">
      <x/>
    </i>
  </rowItems>
  <colFields count="1">
    <field x="-2"/>
  </colFields>
  <colItems count="2">
    <i>
      <x/>
    </i>
    <i i="1">
      <x v="1"/>
    </i>
  </colItems>
  <dataFields count="2">
    <dataField name="Total Orders" fld="0" subtotal="count" baseField="3" baseItem="4"/>
    <dataField name="Total Revenue" fld="8" baseField="3" baseItem="4"/>
  </dataFields>
  <formats count="3">
    <format dxfId="214">
      <pivotArea collapsedLevelsAreSubtotals="1" fieldPosition="0">
        <references count="2">
          <reference field="4294967294" count="1" selected="0">
            <x v="1"/>
          </reference>
          <reference field="3" count="5">
            <x v="0"/>
            <x v="1"/>
            <x v="2"/>
            <x v="3"/>
            <x v="4"/>
          </reference>
        </references>
      </pivotArea>
    </format>
    <format dxfId="32">
      <pivotArea field="3" grandRow="1" outline="0" collapsedLevelsAreSubtotals="1" axis="axisRow" fieldPosition="0">
        <references count="1">
          <reference field="4294967294" count="1" selected="0">
            <x v="1"/>
          </reference>
        </references>
      </pivotArea>
    </format>
    <format dxfId="25">
      <pivotArea collapsedLevelsAreSubtotals="1" fieldPosition="0">
        <references count="2">
          <reference field="4294967294" count="1" selected="0">
            <x v="1"/>
          </reference>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9FF400-DC54-40E4-BC20-D6A5B4A78484}"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4" firstHeaderRow="1" firstDataRow="1" firstDataCol="1"/>
  <pivotFields count="13">
    <pivotField showAll="0"/>
    <pivotField showAll="0">
      <items count="322">
        <item x="310"/>
        <item x="51"/>
        <item x="94"/>
        <item x="159"/>
        <item x="260"/>
        <item x="39"/>
        <item x="71"/>
        <item x="251"/>
        <item x="187"/>
        <item x="199"/>
        <item x="274"/>
        <item x="207"/>
        <item x="5"/>
        <item x="25"/>
        <item x="246"/>
        <item x="280"/>
        <item x="180"/>
        <item x="85"/>
        <item x="294"/>
        <item x="88"/>
        <item x="48"/>
        <item x="104"/>
        <item x="158"/>
        <item x="176"/>
        <item x="204"/>
        <item x="69"/>
        <item x="284"/>
        <item x="258"/>
        <item x="190"/>
        <item x="222"/>
        <item x="89"/>
        <item x="185"/>
        <item x="213"/>
        <item x="64"/>
        <item x="163"/>
        <item x="225"/>
        <item x="28"/>
        <item x="273"/>
        <item x="76"/>
        <item x="72"/>
        <item x="240"/>
        <item x="302"/>
        <item x="4"/>
        <item x="288"/>
        <item x="265"/>
        <item x="236"/>
        <item x="315"/>
        <item x="50"/>
        <item x="108"/>
        <item x="11"/>
        <item x="261"/>
        <item x="304"/>
        <item x="43"/>
        <item x="241"/>
        <item x="101"/>
        <item x="92"/>
        <item x="13"/>
        <item x="0"/>
        <item x="167"/>
        <item x="53"/>
        <item x="3"/>
        <item x="283"/>
        <item x="169"/>
        <item x="123"/>
        <item x="263"/>
        <item x="194"/>
        <item x="227"/>
        <item x="230"/>
        <item x="164"/>
        <item x="6"/>
        <item x="137"/>
        <item x="143"/>
        <item x="214"/>
        <item x="306"/>
        <item x="228"/>
        <item x="198"/>
        <item x="74"/>
        <item x="131"/>
        <item x="14"/>
        <item x="301"/>
        <item x="286"/>
        <item x="313"/>
        <item x="86"/>
        <item x="77"/>
        <item x="211"/>
        <item x="142"/>
        <item x="148"/>
        <item x="149"/>
        <item x="314"/>
        <item x="215"/>
        <item x="151"/>
        <item x="162"/>
        <item x="170"/>
        <item x="237"/>
        <item x="201"/>
        <item x="70"/>
        <item x="189"/>
        <item x="106"/>
        <item x="22"/>
        <item x="56"/>
        <item x="171"/>
        <item x="295"/>
        <item x="35"/>
        <item x="257"/>
        <item x="291"/>
        <item x="102"/>
        <item x="188"/>
        <item x="308"/>
        <item x="290"/>
        <item x="203"/>
        <item x="275"/>
        <item x="248"/>
        <item x="193"/>
        <item x="303"/>
        <item x="136"/>
        <item x="285"/>
        <item x="144"/>
        <item x="66"/>
        <item x="234"/>
        <item x="31"/>
        <item x="195"/>
        <item x="20"/>
        <item x="292"/>
        <item x="173"/>
        <item x="220"/>
        <item x="141"/>
        <item x="87"/>
        <item x="57"/>
        <item x="135"/>
        <item x="242"/>
        <item x="49"/>
        <item x="98"/>
        <item x="160"/>
        <item x="316"/>
        <item x="8"/>
        <item x="65"/>
        <item x="95"/>
        <item x="129"/>
        <item x="249"/>
        <item x="112"/>
        <item x="181"/>
        <item x="168"/>
        <item x="317"/>
        <item x="177"/>
        <item x="84"/>
        <item x="122"/>
        <item x="120"/>
        <item x="287"/>
        <item x="232"/>
        <item x="100"/>
        <item x="40"/>
        <item x="107"/>
        <item x="32"/>
        <item x="202"/>
        <item x="133"/>
        <item x="61"/>
        <item x="26"/>
        <item x="156"/>
        <item x="196"/>
        <item x="253"/>
        <item x="116"/>
        <item x="154"/>
        <item x="219"/>
        <item x="278"/>
        <item x="126"/>
        <item x="223"/>
        <item x="58"/>
        <item x="2"/>
        <item x="233"/>
        <item x="272"/>
        <item x="36"/>
        <item x="21"/>
        <item x="271"/>
        <item x="140"/>
        <item x="115"/>
        <item x="182"/>
        <item x="239"/>
        <item x="200"/>
        <item x="81"/>
        <item x="139"/>
        <item x="62"/>
        <item x="153"/>
        <item x="300"/>
        <item x="192"/>
        <item x="155"/>
        <item x="217"/>
        <item x="15"/>
        <item x="24"/>
        <item x="38"/>
        <item x="119"/>
        <item x="208"/>
        <item x="197"/>
        <item x="250"/>
        <item x="145"/>
        <item x="299"/>
        <item x="9"/>
        <item x="252"/>
        <item x="63"/>
        <item x="296"/>
        <item x="42"/>
        <item x="244"/>
        <item x="216"/>
        <item x="16"/>
        <item x="41"/>
        <item x="110"/>
        <item x="147"/>
        <item x="221"/>
        <item x="212"/>
        <item x="245"/>
        <item x="117"/>
        <item x="309"/>
        <item x="178"/>
        <item x="44"/>
        <item x="270"/>
        <item x="224"/>
        <item x="12"/>
        <item x="121"/>
        <item x="175"/>
        <item x="267"/>
        <item x="114"/>
        <item x="82"/>
        <item x="67"/>
        <item x="279"/>
        <item x="113"/>
        <item x="19"/>
        <item x="128"/>
        <item x="37"/>
        <item x="52"/>
        <item x="79"/>
        <item x="97"/>
        <item x="268"/>
        <item x="276"/>
        <item x="259"/>
        <item x="96"/>
        <item x="209"/>
        <item x="138"/>
        <item x="55"/>
        <item x="130"/>
        <item x="161"/>
        <item x="91"/>
        <item x="206"/>
        <item x="312"/>
        <item x="118"/>
        <item x="266"/>
        <item x="18"/>
        <item x="152"/>
        <item x="132"/>
        <item x="256"/>
        <item x="262"/>
        <item x="80"/>
        <item x="165"/>
        <item x="166"/>
        <item x="255"/>
        <item x="46"/>
        <item x="243"/>
        <item x="238"/>
        <item x="1"/>
        <item x="179"/>
        <item x="134"/>
        <item x="319"/>
        <item x="125"/>
        <item x="218"/>
        <item x="277"/>
        <item x="235"/>
        <item x="307"/>
        <item x="157"/>
        <item x="45"/>
        <item x="59"/>
        <item x="269"/>
        <item x="10"/>
        <item x="23"/>
        <item x="99"/>
        <item x="60"/>
        <item x="146"/>
        <item x="7"/>
        <item x="281"/>
        <item x="174"/>
        <item x="210"/>
        <item x="75"/>
        <item x="111"/>
        <item x="226"/>
        <item x="27"/>
        <item x="30"/>
        <item x="54"/>
        <item x="183"/>
        <item x="282"/>
        <item x="34"/>
        <item x="231"/>
        <item x="150"/>
        <item x="83"/>
        <item x="17"/>
        <item x="68"/>
        <item x="297"/>
        <item x="124"/>
        <item x="78"/>
        <item x="298"/>
        <item x="264"/>
        <item x="90"/>
        <item x="172"/>
        <item x="33"/>
        <item x="109"/>
        <item x="311"/>
        <item x="47"/>
        <item x="127"/>
        <item x="29"/>
        <item x="186"/>
        <item x="229"/>
        <item x="184"/>
        <item x="293"/>
        <item x="191"/>
        <item x="289"/>
        <item x="73"/>
        <item x="247"/>
        <item x="105"/>
        <item x="305"/>
        <item x="318"/>
        <item x="205"/>
        <item x="103"/>
        <item x="254"/>
        <item x="93"/>
        <item x="320"/>
        <item t="default"/>
      </items>
    </pivotField>
    <pivotField showAll="0"/>
    <pivotField showAll="0"/>
    <pivotField showAll="0"/>
    <pivotField showAll="0"/>
    <pivotField showAll="0"/>
    <pivotField showAll="0"/>
    <pivotField dataField="1" showAll="0"/>
    <pivotField showAll="0"/>
    <pivotField showAll="0"/>
    <pivotField name="Months" axis="axisRow" showAll="0">
      <items count="15">
        <item h="1" x="0"/>
        <item x="1"/>
        <item x="2"/>
        <item x="3"/>
        <item x="4"/>
        <item x="5"/>
        <item x="6"/>
        <item x="7"/>
        <item x="8"/>
        <item x="9"/>
        <item x="10"/>
        <item x="11"/>
        <item x="12"/>
        <item x="13"/>
        <item t="default"/>
      </items>
    </pivotField>
    <pivotField name="Years" axis="axisRow" showAll="0">
      <items count="5">
        <item x="0"/>
        <item x="1"/>
        <item x="2"/>
        <item x="3"/>
        <item t="default"/>
      </items>
    </pivotField>
  </pivotFields>
  <rowFields count="2">
    <field x="12"/>
    <field x="11"/>
  </rowFields>
  <rowItems count="21">
    <i>
      <x v="1"/>
    </i>
    <i r="1">
      <x v="1"/>
    </i>
    <i r="1">
      <x v="2"/>
    </i>
    <i r="1">
      <x v="3"/>
    </i>
    <i r="1">
      <x v="4"/>
    </i>
    <i r="1">
      <x v="5"/>
    </i>
    <i r="1">
      <x v="6"/>
    </i>
    <i r="1">
      <x v="7"/>
    </i>
    <i r="1">
      <x v="8"/>
    </i>
    <i r="1">
      <x v="9"/>
    </i>
    <i r="1">
      <x v="10"/>
    </i>
    <i r="1">
      <x v="11"/>
    </i>
    <i r="1">
      <x v="12"/>
    </i>
    <i>
      <x v="2"/>
    </i>
    <i r="1">
      <x v="1"/>
    </i>
    <i r="1">
      <x v="2"/>
    </i>
    <i r="1">
      <x v="3"/>
    </i>
    <i r="1">
      <x v="4"/>
    </i>
    <i r="1">
      <x v="5"/>
    </i>
    <i r="1">
      <x v="6"/>
    </i>
    <i t="grand">
      <x/>
    </i>
  </rowItems>
  <colItems count="1">
    <i/>
  </colItems>
  <dataFields count="1">
    <dataField name="Total Revenue" fld="8" baseField="0" baseItem="0"/>
  </dataFields>
  <formats count="7">
    <format dxfId="213">
      <pivotArea grandRow="1" outline="0" collapsedLevelsAreSubtotals="1" fieldPosition="0"/>
    </format>
    <format dxfId="212">
      <pivotArea collapsedLevelsAreSubtotals="1" fieldPosition="0">
        <references count="1">
          <reference field="12" count="1">
            <x v="0"/>
          </reference>
        </references>
      </pivotArea>
    </format>
    <format dxfId="211">
      <pivotArea collapsedLevelsAreSubtotals="1" fieldPosition="0">
        <references count="2">
          <reference field="11" count="1">
            <x v="0"/>
          </reference>
          <reference field="12" count="1" selected="0">
            <x v="0"/>
          </reference>
        </references>
      </pivotArea>
    </format>
    <format dxfId="210">
      <pivotArea collapsedLevelsAreSubtotals="1" fieldPosition="0">
        <references count="1">
          <reference field="12" count="1">
            <x v="1"/>
          </reference>
        </references>
      </pivotArea>
    </format>
    <format dxfId="209">
      <pivotArea collapsedLevelsAreSubtotals="1" fieldPosition="0">
        <references count="2">
          <reference field="11" count="12">
            <x v="1"/>
            <x v="2"/>
            <x v="3"/>
            <x v="4"/>
            <x v="5"/>
            <x v="6"/>
            <x v="7"/>
            <x v="8"/>
            <x v="9"/>
            <x v="10"/>
            <x v="11"/>
            <x v="12"/>
          </reference>
          <reference field="12" count="1" selected="0">
            <x v="1"/>
          </reference>
        </references>
      </pivotArea>
    </format>
    <format dxfId="208">
      <pivotArea collapsedLevelsAreSubtotals="1" fieldPosition="0">
        <references count="1">
          <reference field="12" count="1">
            <x v="2"/>
          </reference>
        </references>
      </pivotArea>
    </format>
    <format dxfId="207">
      <pivotArea collapsedLevelsAreSubtotals="1" fieldPosition="0">
        <references count="2">
          <reference field="11" count="6">
            <x v="1"/>
            <x v="2"/>
            <x v="3"/>
            <x v="4"/>
            <x v="5"/>
            <x v="6"/>
          </reference>
          <reference field="12" count="1" selected="0">
            <x v="2"/>
          </reference>
        </references>
      </pivotArea>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C9D2D4-DD4B-4A2B-B7F9-7587FB24E662}"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3">
    <pivotField dataField="1" showAll="0"/>
    <pivotField showAll="0">
      <items count="322">
        <item x="310"/>
        <item x="51"/>
        <item x="94"/>
        <item x="159"/>
        <item x="260"/>
        <item x="39"/>
        <item x="71"/>
        <item x="251"/>
        <item x="187"/>
        <item x="199"/>
        <item x="274"/>
        <item x="207"/>
        <item x="5"/>
        <item x="25"/>
        <item x="246"/>
        <item x="280"/>
        <item x="180"/>
        <item x="85"/>
        <item x="294"/>
        <item x="88"/>
        <item x="48"/>
        <item x="104"/>
        <item x="158"/>
        <item x="176"/>
        <item x="204"/>
        <item x="69"/>
        <item x="284"/>
        <item x="258"/>
        <item x="190"/>
        <item x="222"/>
        <item x="89"/>
        <item x="185"/>
        <item x="213"/>
        <item x="64"/>
        <item x="163"/>
        <item x="225"/>
        <item x="28"/>
        <item x="273"/>
        <item x="76"/>
        <item x="72"/>
        <item x="240"/>
        <item x="302"/>
        <item x="4"/>
        <item x="288"/>
        <item x="265"/>
        <item x="236"/>
        <item x="315"/>
        <item x="50"/>
        <item x="108"/>
        <item x="11"/>
        <item x="261"/>
        <item x="304"/>
        <item x="43"/>
        <item x="241"/>
        <item x="101"/>
        <item x="92"/>
        <item x="13"/>
        <item x="0"/>
        <item x="167"/>
        <item x="53"/>
        <item x="3"/>
        <item x="283"/>
        <item x="169"/>
        <item x="123"/>
        <item x="263"/>
        <item x="194"/>
        <item x="227"/>
        <item x="230"/>
        <item x="164"/>
        <item x="6"/>
        <item x="137"/>
        <item x="143"/>
        <item x="214"/>
        <item x="306"/>
        <item x="228"/>
        <item x="198"/>
        <item x="74"/>
        <item x="131"/>
        <item x="14"/>
        <item x="301"/>
        <item x="286"/>
        <item x="313"/>
        <item x="86"/>
        <item x="77"/>
        <item x="211"/>
        <item x="142"/>
        <item x="148"/>
        <item x="149"/>
        <item x="314"/>
        <item x="215"/>
        <item x="151"/>
        <item x="162"/>
        <item x="170"/>
        <item x="237"/>
        <item x="201"/>
        <item x="70"/>
        <item x="189"/>
        <item x="106"/>
        <item x="22"/>
        <item x="56"/>
        <item x="171"/>
        <item x="295"/>
        <item x="35"/>
        <item x="257"/>
        <item x="291"/>
        <item x="102"/>
        <item x="188"/>
        <item x="308"/>
        <item x="290"/>
        <item x="203"/>
        <item x="275"/>
        <item x="248"/>
        <item x="193"/>
        <item x="303"/>
        <item x="136"/>
        <item x="285"/>
        <item x="144"/>
        <item x="66"/>
        <item x="234"/>
        <item x="31"/>
        <item x="195"/>
        <item x="20"/>
        <item x="292"/>
        <item x="173"/>
        <item x="220"/>
        <item x="141"/>
        <item x="87"/>
        <item x="57"/>
        <item x="135"/>
        <item x="242"/>
        <item x="49"/>
        <item x="98"/>
        <item x="160"/>
        <item x="316"/>
        <item x="8"/>
        <item x="65"/>
        <item x="95"/>
        <item x="129"/>
        <item x="249"/>
        <item x="112"/>
        <item x="181"/>
        <item x="168"/>
        <item x="317"/>
        <item x="177"/>
        <item x="84"/>
        <item x="122"/>
        <item x="120"/>
        <item x="287"/>
        <item x="232"/>
        <item x="100"/>
        <item x="40"/>
        <item x="107"/>
        <item x="32"/>
        <item x="202"/>
        <item x="133"/>
        <item x="61"/>
        <item x="26"/>
        <item x="156"/>
        <item x="196"/>
        <item x="253"/>
        <item x="116"/>
        <item x="154"/>
        <item x="219"/>
        <item x="278"/>
        <item x="126"/>
        <item x="223"/>
        <item x="58"/>
        <item x="2"/>
        <item x="233"/>
        <item x="272"/>
        <item x="36"/>
        <item x="21"/>
        <item x="271"/>
        <item x="140"/>
        <item x="115"/>
        <item x="182"/>
        <item x="239"/>
        <item x="200"/>
        <item x="81"/>
        <item x="139"/>
        <item x="62"/>
        <item x="153"/>
        <item x="300"/>
        <item x="192"/>
        <item x="155"/>
        <item x="217"/>
        <item x="15"/>
        <item x="24"/>
        <item x="38"/>
        <item x="119"/>
        <item x="208"/>
        <item x="197"/>
        <item x="250"/>
        <item x="145"/>
        <item x="299"/>
        <item x="9"/>
        <item x="252"/>
        <item x="63"/>
        <item x="296"/>
        <item x="42"/>
        <item x="244"/>
        <item x="216"/>
        <item x="16"/>
        <item x="41"/>
        <item x="110"/>
        <item x="147"/>
        <item x="221"/>
        <item x="212"/>
        <item x="245"/>
        <item x="117"/>
        <item x="309"/>
        <item x="178"/>
        <item x="44"/>
        <item x="270"/>
        <item x="224"/>
        <item x="12"/>
        <item x="121"/>
        <item x="175"/>
        <item x="267"/>
        <item x="114"/>
        <item x="82"/>
        <item x="67"/>
        <item x="279"/>
        <item x="113"/>
        <item x="19"/>
        <item x="128"/>
        <item x="37"/>
        <item x="52"/>
        <item x="79"/>
        <item x="97"/>
        <item x="268"/>
        <item x="276"/>
        <item x="259"/>
        <item x="96"/>
        <item x="209"/>
        <item x="138"/>
        <item x="55"/>
        <item x="130"/>
        <item x="161"/>
        <item x="91"/>
        <item x="206"/>
        <item x="312"/>
        <item x="118"/>
        <item x="266"/>
        <item x="18"/>
        <item x="152"/>
        <item x="132"/>
        <item x="256"/>
        <item x="262"/>
        <item x="80"/>
        <item x="165"/>
        <item x="166"/>
        <item x="255"/>
        <item x="46"/>
        <item x="243"/>
        <item x="238"/>
        <item x="1"/>
        <item x="179"/>
        <item x="134"/>
        <item x="319"/>
        <item x="125"/>
        <item x="218"/>
        <item x="277"/>
        <item x="235"/>
        <item x="307"/>
        <item x="157"/>
        <item x="45"/>
        <item x="59"/>
        <item x="269"/>
        <item x="10"/>
        <item x="23"/>
        <item x="99"/>
        <item x="60"/>
        <item x="146"/>
        <item x="7"/>
        <item x="281"/>
        <item x="174"/>
        <item x="210"/>
        <item x="75"/>
        <item x="111"/>
        <item x="226"/>
        <item x="27"/>
        <item x="30"/>
        <item x="54"/>
        <item x="183"/>
        <item x="282"/>
        <item x="34"/>
        <item x="231"/>
        <item x="150"/>
        <item x="83"/>
        <item x="17"/>
        <item x="68"/>
        <item x="297"/>
        <item x="124"/>
        <item x="78"/>
        <item x="298"/>
        <item x="264"/>
        <item x="90"/>
        <item x="172"/>
        <item x="33"/>
        <item x="109"/>
        <item x="311"/>
        <item x="47"/>
        <item x="127"/>
        <item x="29"/>
        <item x="186"/>
        <item x="229"/>
        <item x="184"/>
        <item x="293"/>
        <item x="191"/>
        <item x="289"/>
        <item x="73"/>
        <item x="247"/>
        <item x="105"/>
        <item x="305"/>
        <item x="318"/>
        <item x="205"/>
        <item x="103"/>
        <item x="254"/>
        <item x="93"/>
        <item x="320"/>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Total Revenue" fld="8" baseField="0" baseItem="0" numFmtId="166"/>
    <dataField name="Count of Orders" fld="0" subtotal="count" baseField="0" baseItem="1"/>
    <dataField name="Average of Revenue (AOV)" fld="8" subtotal="average" baseField="0" baseItem="2"/>
  </dataFields>
  <formats count="19">
    <format dxfId="206">
      <pivotArea type="all" dataOnly="0" outline="0" fieldPosition="0"/>
    </format>
    <format dxfId="205">
      <pivotArea outline="0" collapsedLevelsAreSubtotals="1" fieldPosition="0"/>
    </format>
    <format dxfId="204">
      <pivotArea dataOnly="0" labelOnly="1" outline="0" axis="axisValues" fieldPosition="0"/>
    </format>
    <format dxfId="203">
      <pivotArea outline="0" collapsedLevelsAreSubtotals="1" fieldPosition="0"/>
    </format>
    <format dxfId="202">
      <pivotArea type="all" dataOnly="0" outline="0" fieldPosition="0"/>
    </format>
    <format dxfId="201">
      <pivotArea outline="0" collapsedLevelsAreSubtotals="1" fieldPosition="0"/>
    </format>
    <format dxfId="200">
      <pivotArea dataOnly="0" labelOnly="1" outline="0" fieldPosition="0">
        <references count="1">
          <reference field="4294967294" count="3">
            <x v="0"/>
            <x v="1"/>
            <x v="2"/>
          </reference>
        </references>
      </pivotArea>
    </format>
    <format dxfId="199">
      <pivotArea outline="0" collapsedLevelsAreSubtotals="1" fieldPosition="0">
        <references count="1">
          <reference field="4294967294" count="1" selected="0">
            <x v="1"/>
          </reference>
        </references>
      </pivotArea>
    </format>
    <format dxfId="198">
      <pivotArea dataOnly="0" labelOnly="1" outline="0" fieldPosition="0">
        <references count="1">
          <reference field="4294967294" count="3">
            <x v="0"/>
            <x v="1"/>
            <x v="2"/>
          </reference>
        </references>
      </pivotArea>
    </format>
    <format dxfId="197">
      <pivotArea outline="0" collapsedLevelsAreSubtotals="1" fieldPosition="0"/>
    </format>
    <format dxfId="196">
      <pivotArea type="all" dataOnly="0" outline="0" fieldPosition="0"/>
    </format>
    <format dxfId="195">
      <pivotArea outline="0" collapsedLevelsAreSubtotals="1" fieldPosition="0"/>
    </format>
    <format dxfId="194">
      <pivotArea dataOnly="0" labelOnly="1" outline="0" fieldPosition="0">
        <references count="1">
          <reference field="4294967294" count="3">
            <x v="0"/>
            <x v="1"/>
            <x v="2"/>
          </reference>
        </references>
      </pivotArea>
    </format>
    <format dxfId="193">
      <pivotArea type="all" dataOnly="0" outline="0" fieldPosition="0"/>
    </format>
    <format dxfId="192">
      <pivotArea outline="0" collapsedLevelsAreSubtotals="1" fieldPosition="0"/>
    </format>
    <format dxfId="191">
      <pivotArea dataOnly="0" labelOnly="1" outline="0" fieldPosition="0">
        <references count="1">
          <reference field="4294967294" count="3">
            <x v="0"/>
            <x v="1"/>
            <x v="2"/>
          </reference>
        </references>
      </pivotArea>
    </format>
    <format dxfId="190">
      <pivotArea type="all" dataOnly="0" outline="0" fieldPosition="0"/>
    </format>
    <format dxfId="189">
      <pivotArea outline="0" collapsedLevelsAreSubtotals="1" fieldPosition="0"/>
    </format>
    <format dxfId="18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32590D-D2B7-426D-B9EE-60C6744D0C7E}" sourceName="Region">
  <pivotTables>
    <pivotTable tabId="7" name="PivotTable3"/>
    <pivotTable tabId="11" name="PivotTable5"/>
    <pivotTable tabId="9" name="PivotTable3"/>
    <pivotTable tabId="8" name="PivotTable2"/>
    <pivotTable tabId="12" name="PivotTable6"/>
  </pivotTables>
  <data>
    <tabular pivotCacheId="894646259">
      <items count="5">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B0B0C18-C80A-4CF0-80E0-002184871FD3}" sourceName="Product">
  <pivotTables>
    <pivotTable tabId="9" name="PivotTable3"/>
    <pivotTable tabId="11" name="PivotTable5"/>
    <pivotTable tabId="7" name="PivotTable3"/>
    <pivotTable tabId="8" name="PivotTable2"/>
    <pivotTable tabId="12" name="PivotTable6"/>
  </pivotTables>
  <data>
    <tabular pivotCacheId="894646259">
      <items count="6">
        <i x="2" s="1"/>
        <i x="0" s="1"/>
        <i x="3" s="1"/>
        <i x="4"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941475-BEBA-4FE2-91C3-97365CABD096}" sourceName="Category">
  <pivotTables>
    <pivotTable tabId="9" name="PivotTable3"/>
    <pivotTable tabId="11" name="PivotTable5"/>
    <pivotTable tabId="7" name="PivotTable3"/>
    <pivotTable tabId="8" name="PivotTable2"/>
    <pivotTable tabId="12" name="PivotTable6"/>
  </pivotTables>
  <data>
    <tabular pivotCacheId="89464625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587275D-BF6D-4BD9-AEB5-0555B53BA46E}" sourceName="Salesperson">
  <pivotTables>
    <pivotTable tabId="12" name="PivotTable6"/>
    <pivotTable tabId="11" name="PivotTable5"/>
    <pivotTable tabId="9" name="PivotTable3"/>
    <pivotTable tabId="7" name="PivotTable3"/>
    <pivotTable tabId="8" name="PivotTable2"/>
  </pivotTables>
  <data>
    <tabular pivotCacheId="894646259">
      <items count="5">
        <i x="1" s="1"/>
        <i x="4"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9E3FF9-EE74-4D9B-8F25-9B5E99FC2630}" cache="Slicer_Region" caption="Region" rowHeight="234950"/>
  <slicer name="Product" xr10:uid="{CA68E0BF-2E9D-41C5-B254-2CFDEA572642}" cache="Slicer_Product" caption="Product" rowHeight="234950"/>
  <slicer name="Category" xr10:uid="{99896F9B-66A4-45FC-8C08-A997D2A5DD69}" cache="Slicer_Category" caption="Category" rowHeight="234950"/>
  <slicer name="Salesperson" xr10:uid="{518B2BFC-1543-4CB9-B89D-08D17753E2AA}"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6DA3FB-4A1D-4C2D-BA41-69A1F02DDC98}" name="Table1" displayName="Table1" ref="A1:J501" totalsRowShown="0" headerRowDxfId="227" headerRowBorderDxfId="226">
  <autoFilter ref="A1:J501" xr:uid="{14AD8BD6-0DDE-4234-9384-FE7F8EAAC2E9}"/>
  <tableColumns count="10">
    <tableColumn id="1" xr3:uid="{E16025DC-B1BF-4248-82DB-E9C5EE087B1C}" name="Order ID"/>
    <tableColumn id="2" xr3:uid="{C05CA2EF-F376-495E-B7ED-77DD85CD493B}" name="Order Date" dataDxfId="225"/>
    <tableColumn id="3" xr3:uid="{1C00BE18-AD77-4300-967C-FAD03974521E}" name="Region"/>
    <tableColumn id="4" xr3:uid="{D63E6B5E-5C97-4AC4-92ED-E422DDE110B1}" name="Salesperson"/>
    <tableColumn id="5" xr3:uid="{C2FF3AEA-BDEC-49E1-A5BA-B5737BFFD458}" name="Product"/>
    <tableColumn id="6" xr3:uid="{0401C1A3-0C8F-4362-9DED-C97924933184}" name="Category"/>
    <tableColumn id="7" xr3:uid="{E3A19BF8-66F9-4D74-8B1E-03F34168136B}" name="Units Sold"/>
    <tableColumn id="8" xr3:uid="{7CAAE38A-79AD-4C52-BD8B-14118566F5CC}" name="Unit Price (£)" dataDxfId="224"/>
    <tableColumn id="9" xr3:uid="{AA11D2F3-27DD-4F08-8C3D-379FD5983DD6}" name="Revenue (£)" dataDxfId="223"/>
    <tableColumn id="11" xr3:uid="{516F59EB-4ED4-4A38-B27C-F7EF2CD7443A}" name="Order Size" dataDxfId="222">
      <calculatedColumnFormula>IF(Table1[[#This Row],[Revenue (£)]]&lt;500, "small", IF(Table1[[#This Row],[Revenue (£)]]&lt;2000, "medium", "Large"))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B6A6-79A3-42AD-84A7-D2674D340237}">
  <dimension ref="A1:J502"/>
  <sheetViews>
    <sheetView tabSelected="1" topLeftCell="A13" workbookViewId="0">
      <selection activeCell="P12" sqref="P12"/>
    </sheetView>
  </sheetViews>
  <sheetFormatPr defaultRowHeight="14.4" x14ac:dyDescent="0.3"/>
  <cols>
    <col min="1" max="1" width="9.88671875" customWidth="1"/>
    <col min="2" max="2" width="18.109375" bestFit="1" customWidth="1"/>
    <col min="3" max="3" width="10.44140625" bestFit="1" customWidth="1"/>
    <col min="4" max="4" width="13.21875" bestFit="1" customWidth="1"/>
    <col min="5" max="5" width="13.77734375" bestFit="1" customWidth="1"/>
    <col min="6" max="6" width="10.44140625" bestFit="1" customWidth="1"/>
    <col min="7" max="7" width="11.33203125" customWidth="1"/>
    <col min="8" max="8" width="13.77734375" style="4" customWidth="1"/>
    <col min="9" max="9" width="13" style="4" customWidth="1"/>
    <col min="10" max="10" width="11.44140625" customWidth="1"/>
  </cols>
  <sheetData>
    <row r="1" spans="1:10" x14ac:dyDescent="0.3">
      <c r="A1" s="1" t="s">
        <v>0</v>
      </c>
      <c r="B1" s="1" t="s">
        <v>1</v>
      </c>
      <c r="C1" s="1" t="s">
        <v>2</v>
      </c>
      <c r="D1" s="1" t="s">
        <v>3</v>
      </c>
      <c r="E1" s="1" t="s">
        <v>4</v>
      </c>
      <c r="F1" s="1" t="s">
        <v>5</v>
      </c>
      <c r="G1" s="1" t="s">
        <v>6</v>
      </c>
      <c r="H1" s="3" t="s">
        <v>7</v>
      </c>
      <c r="I1" s="3" t="s">
        <v>8</v>
      </c>
      <c r="J1" s="8" t="s">
        <v>27</v>
      </c>
    </row>
    <row r="2" spans="1:10" x14ac:dyDescent="0.3">
      <c r="A2">
        <v>10001</v>
      </c>
      <c r="B2" s="2">
        <v>45029</v>
      </c>
      <c r="C2" t="s">
        <v>9</v>
      </c>
      <c r="D2" t="s">
        <v>14</v>
      </c>
      <c r="E2" t="s">
        <v>19</v>
      </c>
      <c r="F2" t="s">
        <v>25</v>
      </c>
      <c r="G2">
        <v>1</v>
      </c>
      <c r="H2" s="4">
        <v>75</v>
      </c>
      <c r="I2" s="4">
        <v>75</v>
      </c>
      <c r="J2" t="str">
        <f>IF(Table1[[#This Row],[Revenue (£)]]&lt;500, "small", IF(Table1[[#This Row],[Revenue (£)]]&lt;2000, "medium", "Large"))</f>
        <v>small</v>
      </c>
    </row>
    <row r="3" spans="1:10" x14ac:dyDescent="0.3">
      <c r="A3">
        <v>10002</v>
      </c>
      <c r="B3" s="2">
        <v>45362</v>
      </c>
      <c r="C3" t="s">
        <v>10</v>
      </c>
      <c r="D3" t="s">
        <v>15</v>
      </c>
      <c r="E3" t="s">
        <v>20</v>
      </c>
      <c r="F3" t="s">
        <v>26</v>
      </c>
      <c r="G3">
        <v>14</v>
      </c>
      <c r="H3" s="4">
        <v>220</v>
      </c>
      <c r="I3" s="4">
        <v>3080</v>
      </c>
      <c r="J3" t="str">
        <f>IF(Table1[[#This Row],[Revenue (£)]]&lt;500, "small", IF(Table1[[#This Row],[Revenue (£)]]&lt;2000, "medium", "Large"))</f>
        <v>Large</v>
      </c>
    </row>
    <row r="4" spans="1:10" x14ac:dyDescent="0.3">
      <c r="A4">
        <v>10003</v>
      </c>
      <c r="B4" s="2">
        <v>45197</v>
      </c>
      <c r="C4" t="s">
        <v>10</v>
      </c>
      <c r="D4" t="s">
        <v>16</v>
      </c>
      <c r="E4" t="s">
        <v>20</v>
      </c>
      <c r="F4" t="s">
        <v>26</v>
      </c>
      <c r="G4">
        <v>1</v>
      </c>
      <c r="H4" s="4">
        <v>220</v>
      </c>
      <c r="I4" s="4">
        <v>220</v>
      </c>
      <c r="J4" t="str">
        <f>IF(Table1[[#This Row],[Revenue (£)]]&lt;500, "small", IF(Table1[[#This Row],[Revenue (£)]]&lt;2000, "medium", "Large"))</f>
        <v>small</v>
      </c>
    </row>
    <row r="5" spans="1:10" x14ac:dyDescent="0.3">
      <c r="A5">
        <v>10004</v>
      </c>
      <c r="B5" s="2">
        <v>45033</v>
      </c>
      <c r="C5" t="s">
        <v>9</v>
      </c>
      <c r="D5" t="s">
        <v>14</v>
      </c>
      <c r="E5" t="s">
        <v>21</v>
      </c>
      <c r="F5" t="s">
        <v>25</v>
      </c>
      <c r="G5">
        <v>5</v>
      </c>
      <c r="H5" s="4">
        <v>180</v>
      </c>
      <c r="I5" s="4">
        <v>900</v>
      </c>
      <c r="J5" t="str">
        <f>IF(Table1[[#This Row],[Revenue (£)]]&lt;500, "small", IF(Table1[[#This Row],[Revenue (£)]]&lt;2000, "medium", "Large"))</f>
        <v>medium</v>
      </c>
    </row>
    <row r="6" spans="1:10" x14ac:dyDescent="0.3">
      <c r="A6">
        <v>10005</v>
      </c>
      <c r="B6" s="2">
        <v>44998</v>
      </c>
      <c r="C6" t="s">
        <v>11</v>
      </c>
      <c r="D6" t="s">
        <v>17</v>
      </c>
      <c r="E6" t="s">
        <v>22</v>
      </c>
      <c r="F6" t="s">
        <v>25</v>
      </c>
      <c r="G6">
        <v>6</v>
      </c>
      <c r="H6" s="4">
        <v>45</v>
      </c>
      <c r="I6" s="4">
        <v>270</v>
      </c>
      <c r="J6" t="str">
        <f>IF(Table1[[#This Row],[Revenue (£)]]&lt;500, "small", IF(Table1[[#This Row],[Revenue (£)]]&lt;2000, "medium", "Large"))</f>
        <v>small</v>
      </c>
    </row>
    <row r="7" spans="1:10" x14ac:dyDescent="0.3">
      <c r="A7">
        <v>10006</v>
      </c>
      <c r="B7" s="2">
        <v>44947</v>
      </c>
      <c r="C7" t="s">
        <v>12</v>
      </c>
      <c r="D7" t="s">
        <v>17</v>
      </c>
      <c r="E7" t="s">
        <v>20</v>
      </c>
      <c r="F7" t="s">
        <v>26</v>
      </c>
      <c r="G7">
        <v>6</v>
      </c>
      <c r="H7" s="4">
        <v>220</v>
      </c>
      <c r="I7" s="4">
        <v>1320</v>
      </c>
      <c r="J7" t="str">
        <f>IF(Table1[[#This Row],[Revenue (£)]]&lt;500, "small", IF(Table1[[#This Row],[Revenue (£)]]&lt;2000, "medium", "Large"))</f>
        <v>medium</v>
      </c>
    </row>
    <row r="8" spans="1:10" x14ac:dyDescent="0.3">
      <c r="A8">
        <v>10007</v>
      </c>
      <c r="B8" s="2">
        <v>45048</v>
      </c>
      <c r="C8" t="s">
        <v>12</v>
      </c>
      <c r="D8" t="s">
        <v>17</v>
      </c>
      <c r="E8" t="s">
        <v>23</v>
      </c>
      <c r="F8" t="s">
        <v>26</v>
      </c>
      <c r="G8">
        <v>3</v>
      </c>
      <c r="H8" s="4">
        <v>850</v>
      </c>
      <c r="I8" s="4">
        <v>2550</v>
      </c>
      <c r="J8" t="str">
        <f>IF(Table1[[#This Row],[Revenue (£)]]&lt;500, "small", IF(Table1[[#This Row],[Revenue (£)]]&lt;2000, "medium", "Large"))</f>
        <v>Large</v>
      </c>
    </row>
    <row r="9" spans="1:10" x14ac:dyDescent="0.3">
      <c r="A9">
        <v>10008</v>
      </c>
      <c r="B9" s="2">
        <v>45393</v>
      </c>
      <c r="C9" t="s">
        <v>10</v>
      </c>
      <c r="D9" t="s">
        <v>17</v>
      </c>
      <c r="E9" t="s">
        <v>19</v>
      </c>
      <c r="F9" t="s">
        <v>25</v>
      </c>
      <c r="G9">
        <v>7</v>
      </c>
      <c r="H9" s="4">
        <v>75</v>
      </c>
      <c r="I9" s="4">
        <v>525</v>
      </c>
      <c r="J9" t="str">
        <f>IF(Table1[[#This Row],[Revenue (£)]]&lt;500, "small", IF(Table1[[#This Row],[Revenue (£)]]&lt;2000, "medium", "Large"))</f>
        <v>medium</v>
      </c>
    </row>
    <row r="10" spans="1:10" x14ac:dyDescent="0.3">
      <c r="A10">
        <v>10009</v>
      </c>
      <c r="B10" s="2">
        <v>45141</v>
      </c>
      <c r="C10" t="s">
        <v>10</v>
      </c>
      <c r="D10" t="s">
        <v>15</v>
      </c>
      <c r="E10" t="s">
        <v>19</v>
      </c>
      <c r="F10" t="s">
        <v>25</v>
      </c>
      <c r="G10">
        <v>9</v>
      </c>
      <c r="H10" s="4">
        <v>75</v>
      </c>
      <c r="I10" s="4">
        <v>675</v>
      </c>
      <c r="J10" t="str">
        <f>IF(Table1[[#This Row],[Revenue (£)]]&lt;500, "small", IF(Table1[[#This Row],[Revenue (£)]]&lt;2000, "medium", "Large"))</f>
        <v>medium</v>
      </c>
    </row>
    <row r="11" spans="1:10" x14ac:dyDescent="0.3">
      <c r="A11">
        <v>10010</v>
      </c>
      <c r="B11" s="2">
        <v>45257</v>
      </c>
      <c r="C11" t="s">
        <v>11</v>
      </c>
      <c r="D11" t="s">
        <v>16</v>
      </c>
      <c r="E11" t="s">
        <v>21</v>
      </c>
      <c r="F11" t="s">
        <v>25</v>
      </c>
      <c r="G11">
        <v>11</v>
      </c>
      <c r="H11" s="4">
        <v>180</v>
      </c>
      <c r="I11" s="4">
        <v>1980</v>
      </c>
      <c r="J11" t="str">
        <f>IF(Table1[[#This Row],[Revenue (£)]]&lt;500, "small", IF(Table1[[#This Row],[Revenue (£)]]&lt;2000, "medium", "Large"))</f>
        <v>medium</v>
      </c>
    </row>
    <row r="12" spans="1:10" x14ac:dyDescent="0.3">
      <c r="A12">
        <v>10011</v>
      </c>
      <c r="B12" s="2">
        <v>45385</v>
      </c>
      <c r="C12" t="s">
        <v>13</v>
      </c>
      <c r="D12" t="s">
        <v>18</v>
      </c>
      <c r="E12" t="s">
        <v>24</v>
      </c>
      <c r="F12" t="s">
        <v>25</v>
      </c>
      <c r="G12">
        <v>12</v>
      </c>
      <c r="H12" s="4">
        <v>30</v>
      </c>
      <c r="I12" s="4">
        <v>360</v>
      </c>
      <c r="J12" t="str">
        <f>IF(Table1[[#This Row],[Revenue (£)]]&lt;500, "small", IF(Table1[[#This Row],[Revenue (£)]]&lt;2000, "medium", "Large"))</f>
        <v>small</v>
      </c>
    </row>
    <row r="13" spans="1:10" x14ac:dyDescent="0.3">
      <c r="A13">
        <v>10012</v>
      </c>
      <c r="B13" s="2">
        <v>45014</v>
      </c>
      <c r="C13" t="s">
        <v>9</v>
      </c>
      <c r="D13" t="s">
        <v>15</v>
      </c>
      <c r="E13" t="s">
        <v>21</v>
      </c>
      <c r="F13" t="s">
        <v>25</v>
      </c>
      <c r="G13">
        <v>10</v>
      </c>
      <c r="H13" s="4">
        <v>180</v>
      </c>
      <c r="I13" s="4">
        <v>1800</v>
      </c>
      <c r="J13" t="str">
        <f>IF(Table1[[#This Row],[Revenue (£)]]&lt;500, "small", IF(Table1[[#This Row],[Revenue (£)]]&lt;2000, "medium", "Large"))</f>
        <v>medium</v>
      </c>
    </row>
    <row r="14" spans="1:10" x14ac:dyDescent="0.3">
      <c r="A14">
        <v>10013</v>
      </c>
      <c r="B14" s="2">
        <v>45299</v>
      </c>
      <c r="C14" t="s">
        <v>10</v>
      </c>
      <c r="D14" t="s">
        <v>15</v>
      </c>
      <c r="E14" t="s">
        <v>24</v>
      </c>
      <c r="F14" t="s">
        <v>25</v>
      </c>
      <c r="G14">
        <v>8</v>
      </c>
      <c r="H14" s="4">
        <v>30</v>
      </c>
      <c r="I14" s="4">
        <v>240</v>
      </c>
      <c r="J14" t="str">
        <f>IF(Table1[[#This Row],[Revenue (£)]]&lt;500, "small", IF(Table1[[#This Row],[Revenue (£)]]&lt;2000, "medium", "Large"))</f>
        <v>small</v>
      </c>
    </row>
    <row r="15" spans="1:10" x14ac:dyDescent="0.3">
      <c r="A15">
        <v>10014</v>
      </c>
      <c r="B15" s="2">
        <v>45026</v>
      </c>
      <c r="C15" t="s">
        <v>12</v>
      </c>
      <c r="D15" t="s">
        <v>18</v>
      </c>
      <c r="E15" t="s">
        <v>21</v>
      </c>
      <c r="F15" t="s">
        <v>25</v>
      </c>
      <c r="G15">
        <v>6</v>
      </c>
      <c r="H15" s="4">
        <v>180</v>
      </c>
      <c r="I15" s="4">
        <v>1080</v>
      </c>
      <c r="J15" t="str">
        <f>IF(Table1[[#This Row],[Revenue (£)]]&lt;500, "small", IF(Table1[[#This Row],[Revenue (£)]]&lt;2000, "medium", "Large"))</f>
        <v>medium</v>
      </c>
    </row>
    <row r="16" spans="1:10" x14ac:dyDescent="0.3">
      <c r="A16">
        <v>10015</v>
      </c>
      <c r="B16" s="2">
        <v>45057</v>
      </c>
      <c r="C16" t="s">
        <v>11</v>
      </c>
      <c r="D16" t="s">
        <v>18</v>
      </c>
      <c r="E16" t="s">
        <v>21</v>
      </c>
      <c r="F16" t="s">
        <v>25</v>
      </c>
      <c r="G16">
        <v>12</v>
      </c>
      <c r="H16" s="4">
        <v>180</v>
      </c>
      <c r="I16" s="4">
        <v>2160</v>
      </c>
      <c r="J16" t="str">
        <f>IF(Table1[[#This Row],[Revenue (£)]]&lt;500, "small", IF(Table1[[#This Row],[Revenue (£)]]&lt;2000, "medium", "Large"))</f>
        <v>Large</v>
      </c>
    </row>
    <row r="17" spans="1:10" x14ac:dyDescent="0.3">
      <c r="A17">
        <v>10016</v>
      </c>
      <c r="B17" s="2">
        <v>45235</v>
      </c>
      <c r="C17" t="s">
        <v>9</v>
      </c>
      <c r="D17" t="s">
        <v>17</v>
      </c>
      <c r="E17" t="s">
        <v>21</v>
      </c>
      <c r="F17" t="s">
        <v>25</v>
      </c>
      <c r="G17">
        <v>8</v>
      </c>
      <c r="H17" s="4">
        <v>180</v>
      </c>
      <c r="I17" s="4">
        <v>1440</v>
      </c>
      <c r="J17" t="str">
        <f>IF(Table1[[#This Row],[Revenue (£)]]&lt;500, "small", IF(Table1[[#This Row],[Revenue (£)]]&lt;2000, "medium", "Large"))</f>
        <v>medium</v>
      </c>
    </row>
    <row r="18" spans="1:10" x14ac:dyDescent="0.3">
      <c r="A18">
        <v>10017</v>
      </c>
      <c r="B18" s="2">
        <v>45270</v>
      </c>
      <c r="C18" t="s">
        <v>11</v>
      </c>
      <c r="D18" t="s">
        <v>15</v>
      </c>
      <c r="E18" t="s">
        <v>24</v>
      </c>
      <c r="F18" t="s">
        <v>25</v>
      </c>
      <c r="G18">
        <v>12</v>
      </c>
      <c r="H18" s="4">
        <v>30</v>
      </c>
      <c r="I18" s="4">
        <v>360</v>
      </c>
      <c r="J18" t="str">
        <f>IF(Table1[[#This Row],[Revenue (£)]]&lt;500, "small", IF(Table1[[#This Row],[Revenue (£)]]&lt;2000, "medium", "Large"))</f>
        <v>small</v>
      </c>
    </row>
    <row r="19" spans="1:10" x14ac:dyDescent="0.3">
      <c r="A19">
        <v>10018</v>
      </c>
      <c r="B19" s="2">
        <v>45418</v>
      </c>
      <c r="C19" t="s">
        <v>9</v>
      </c>
      <c r="D19" t="s">
        <v>14</v>
      </c>
      <c r="E19" t="s">
        <v>24</v>
      </c>
      <c r="F19" t="s">
        <v>25</v>
      </c>
      <c r="G19">
        <v>5</v>
      </c>
      <c r="H19" s="4">
        <v>30</v>
      </c>
      <c r="I19" s="4">
        <v>150</v>
      </c>
      <c r="J19" t="str">
        <f>IF(Table1[[#This Row],[Revenue (£)]]&lt;500, "small", IF(Table1[[#This Row],[Revenue (£)]]&lt;2000, "medium", "Large"))</f>
        <v>small</v>
      </c>
    </row>
    <row r="20" spans="1:10" x14ac:dyDescent="0.3">
      <c r="A20">
        <v>10019</v>
      </c>
      <c r="B20" s="2">
        <v>45340</v>
      </c>
      <c r="C20" t="s">
        <v>9</v>
      </c>
      <c r="D20" t="s">
        <v>18</v>
      </c>
      <c r="E20" t="s">
        <v>21</v>
      </c>
      <c r="F20" t="s">
        <v>25</v>
      </c>
      <c r="G20">
        <v>8</v>
      </c>
      <c r="H20" s="4">
        <v>180</v>
      </c>
      <c r="I20" s="4">
        <v>1440</v>
      </c>
      <c r="J20" t="str">
        <f>IF(Table1[[#This Row],[Revenue (£)]]&lt;500, "small", IF(Table1[[#This Row],[Revenue (£)]]&lt;2000, "medium", "Large"))</f>
        <v>medium</v>
      </c>
    </row>
    <row r="21" spans="1:10" x14ac:dyDescent="0.3">
      <c r="A21">
        <v>10020</v>
      </c>
      <c r="B21" s="2">
        <v>45312</v>
      </c>
      <c r="C21" t="s">
        <v>10</v>
      </c>
      <c r="D21" t="s">
        <v>18</v>
      </c>
      <c r="E21" t="s">
        <v>20</v>
      </c>
      <c r="F21" t="s">
        <v>26</v>
      </c>
      <c r="G21">
        <v>10</v>
      </c>
      <c r="H21" s="4">
        <v>220</v>
      </c>
      <c r="I21" s="4">
        <v>2200</v>
      </c>
      <c r="J21" t="str">
        <f>IF(Table1[[#This Row],[Revenue (£)]]&lt;500, "small", IF(Table1[[#This Row],[Revenue (£)]]&lt;2000, "medium", "Large"))</f>
        <v>Large</v>
      </c>
    </row>
    <row r="22" spans="1:10" x14ac:dyDescent="0.3">
      <c r="A22">
        <v>10021</v>
      </c>
      <c r="B22" s="2">
        <v>45118</v>
      </c>
      <c r="C22" t="s">
        <v>11</v>
      </c>
      <c r="D22" t="s">
        <v>16</v>
      </c>
      <c r="E22" t="s">
        <v>22</v>
      </c>
      <c r="F22" t="s">
        <v>25</v>
      </c>
      <c r="G22">
        <v>12</v>
      </c>
      <c r="H22" s="4">
        <v>45</v>
      </c>
      <c r="I22" s="4">
        <v>540</v>
      </c>
      <c r="J22" t="str">
        <f>IF(Table1[[#This Row],[Revenue (£)]]&lt;500, "small", IF(Table1[[#This Row],[Revenue (£)]]&lt;2000, "medium", "Large"))</f>
        <v>medium</v>
      </c>
    </row>
    <row r="23" spans="1:10" x14ac:dyDescent="0.3">
      <c r="A23">
        <v>10022</v>
      </c>
      <c r="B23" s="2">
        <v>45203</v>
      </c>
      <c r="C23" t="s">
        <v>11</v>
      </c>
      <c r="D23" t="s">
        <v>14</v>
      </c>
      <c r="E23" t="s">
        <v>22</v>
      </c>
      <c r="F23" t="s">
        <v>25</v>
      </c>
      <c r="G23">
        <v>4</v>
      </c>
      <c r="H23" s="4">
        <v>45</v>
      </c>
      <c r="I23" s="4">
        <v>180</v>
      </c>
      <c r="J23" t="str">
        <f>IF(Table1[[#This Row],[Revenue (£)]]&lt;500, "small", IF(Table1[[#This Row],[Revenue (£)]]&lt;2000, "medium", "Large"))</f>
        <v>small</v>
      </c>
    </row>
    <row r="24" spans="1:10" x14ac:dyDescent="0.3">
      <c r="A24">
        <v>10023</v>
      </c>
      <c r="B24" s="2">
        <v>45087</v>
      </c>
      <c r="C24" t="s">
        <v>12</v>
      </c>
      <c r="D24" t="s">
        <v>14</v>
      </c>
      <c r="E24" t="s">
        <v>22</v>
      </c>
      <c r="F24" t="s">
        <v>25</v>
      </c>
      <c r="G24">
        <v>10</v>
      </c>
      <c r="H24" s="4">
        <v>45</v>
      </c>
      <c r="I24" s="4">
        <v>450</v>
      </c>
      <c r="J24" t="str">
        <f>IF(Table1[[#This Row],[Revenue (£)]]&lt;500, "small", IF(Table1[[#This Row],[Revenue (£)]]&lt;2000, "medium", "Large"))</f>
        <v>small</v>
      </c>
    </row>
    <row r="25" spans="1:10" x14ac:dyDescent="0.3">
      <c r="A25">
        <v>10024</v>
      </c>
      <c r="B25" s="2">
        <v>45386</v>
      </c>
      <c r="C25" t="s">
        <v>12</v>
      </c>
      <c r="D25" t="s">
        <v>18</v>
      </c>
      <c r="E25" t="s">
        <v>24</v>
      </c>
      <c r="F25" t="s">
        <v>25</v>
      </c>
      <c r="G25">
        <v>8</v>
      </c>
      <c r="H25" s="4">
        <v>30</v>
      </c>
      <c r="I25" s="4">
        <v>240</v>
      </c>
      <c r="J25" t="str">
        <f>IF(Table1[[#This Row],[Revenue (£)]]&lt;500, "small", IF(Table1[[#This Row],[Revenue (£)]]&lt;2000, "medium", "Large"))</f>
        <v>small</v>
      </c>
    </row>
    <row r="26" spans="1:10" x14ac:dyDescent="0.3">
      <c r="A26">
        <v>10025</v>
      </c>
      <c r="B26" s="2">
        <v>45240</v>
      </c>
      <c r="C26" t="s">
        <v>10</v>
      </c>
      <c r="D26" t="s">
        <v>17</v>
      </c>
      <c r="E26" t="s">
        <v>24</v>
      </c>
      <c r="F26" t="s">
        <v>25</v>
      </c>
      <c r="G26">
        <v>10</v>
      </c>
      <c r="H26" s="4">
        <v>30</v>
      </c>
      <c r="I26" s="4">
        <v>300</v>
      </c>
      <c r="J26" t="str">
        <f>IF(Table1[[#This Row],[Revenue (£)]]&lt;500, "small", IF(Table1[[#This Row],[Revenue (£)]]&lt;2000, "medium", "Large"))</f>
        <v>small</v>
      </c>
    </row>
    <row r="27" spans="1:10" x14ac:dyDescent="0.3">
      <c r="A27">
        <v>10026</v>
      </c>
      <c r="B27" s="2">
        <v>44948</v>
      </c>
      <c r="C27" t="s">
        <v>10</v>
      </c>
      <c r="D27" t="s">
        <v>16</v>
      </c>
      <c r="E27" t="s">
        <v>20</v>
      </c>
      <c r="F27" t="s">
        <v>26</v>
      </c>
      <c r="G27">
        <v>12</v>
      </c>
      <c r="H27" s="4">
        <v>220</v>
      </c>
      <c r="I27" s="4">
        <v>2640</v>
      </c>
      <c r="J27" t="str">
        <f>IF(Table1[[#This Row],[Revenue (£)]]&lt;500, "small", IF(Table1[[#This Row],[Revenue (£)]]&lt;2000, "medium", "Large"))</f>
        <v>Large</v>
      </c>
    </row>
    <row r="28" spans="1:10" x14ac:dyDescent="0.3">
      <c r="A28">
        <v>10027</v>
      </c>
      <c r="B28" s="2">
        <v>45179</v>
      </c>
      <c r="C28" t="s">
        <v>13</v>
      </c>
      <c r="D28" t="s">
        <v>14</v>
      </c>
      <c r="E28" t="s">
        <v>22</v>
      </c>
      <c r="F28" t="s">
        <v>25</v>
      </c>
      <c r="G28">
        <v>2</v>
      </c>
      <c r="H28" s="4">
        <v>45</v>
      </c>
      <c r="I28" s="4">
        <v>90</v>
      </c>
      <c r="J28" t="str">
        <f>IF(Table1[[#This Row],[Revenue (£)]]&lt;500, "small", IF(Table1[[#This Row],[Revenue (£)]]&lt;2000, "medium", "Large"))</f>
        <v>small</v>
      </c>
    </row>
    <row r="29" spans="1:10" x14ac:dyDescent="0.3">
      <c r="A29">
        <v>10028</v>
      </c>
      <c r="B29" s="2">
        <v>45401</v>
      </c>
      <c r="C29" t="s">
        <v>12</v>
      </c>
      <c r="D29" t="s">
        <v>18</v>
      </c>
      <c r="E29" t="s">
        <v>22</v>
      </c>
      <c r="F29" t="s">
        <v>25</v>
      </c>
      <c r="G29">
        <v>12</v>
      </c>
      <c r="H29" s="4">
        <v>45</v>
      </c>
      <c r="I29" s="4">
        <v>540</v>
      </c>
      <c r="J29" t="str">
        <f>IF(Table1[[#This Row],[Revenue (£)]]&lt;500, "small", IF(Table1[[#This Row],[Revenue (£)]]&lt;2000, "medium", "Large"))</f>
        <v>medium</v>
      </c>
    </row>
    <row r="30" spans="1:10" x14ac:dyDescent="0.3">
      <c r="A30">
        <v>10029</v>
      </c>
      <c r="B30" s="2">
        <v>44985</v>
      </c>
      <c r="C30" t="s">
        <v>9</v>
      </c>
      <c r="D30" t="s">
        <v>14</v>
      </c>
      <c r="E30" t="s">
        <v>21</v>
      </c>
      <c r="F30" t="s">
        <v>25</v>
      </c>
      <c r="G30">
        <v>12</v>
      </c>
      <c r="H30" s="4">
        <v>180</v>
      </c>
      <c r="I30" s="4">
        <v>2160</v>
      </c>
      <c r="J30" t="str">
        <f>IF(Table1[[#This Row],[Revenue (£)]]&lt;500, "small", IF(Table1[[#This Row],[Revenue (£)]]&lt;2000, "medium", "Large"))</f>
        <v>Large</v>
      </c>
    </row>
    <row r="31" spans="1:10" x14ac:dyDescent="0.3">
      <c r="A31">
        <v>10030</v>
      </c>
      <c r="B31" s="2">
        <v>45437</v>
      </c>
      <c r="C31" t="s">
        <v>11</v>
      </c>
      <c r="D31" t="s">
        <v>16</v>
      </c>
      <c r="E31" t="s">
        <v>24</v>
      </c>
      <c r="F31" t="s">
        <v>25</v>
      </c>
      <c r="G31">
        <v>5</v>
      </c>
      <c r="H31" s="4">
        <v>30</v>
      </c>
      <c r="I31" s="4">
        <v>150</v>
      </c>
      <c r="J31" t="str">
        <f>IF(Table1[[#This Row],[Revenue (£)]]&lt;500, "small", IF(Table1[[#This Row],[Revenue (£)]]&lt;2000, "medium", "Large"))</f>
        <v>small</v>
      </c>
    </row>
    <row r="32" spans="1:10" x14ac:dyDescent="0.3">
      <c r="A32">
        <v>10031</v>
      </c>
      <c r="B32" s="2">
        <v>45402</v>
      </c>
      <c r="C32" t="s">
        <v>10</v>
      </c>
      <c r="D32" t="s">
        <v>16</v>
      </c>
      <c r="E32" t="s">
        <v>22</v>
      </c>
      <c r="F32" t="s">
        <v>25</v>
      </c>
      <c r="G32">
        <v>9</v>
      </c>
      <c r="H32" s="4">
        <v>45</v>
      </c>
      <c r="I32" s="4">
        <v>405</v>
      </c>
      <c r="J32" t="str">
        <f>IF(Table1[[#This Row],[Revenue (£)]]&lt;500, "small", IF(Table1[[#This Row],[Revenue (£)]]&lt;2000, "medium", "Large"))</f>
        <v>small</v>
      </c>
    </row>
    <row r="33" spans="1:10" x14ac:dyDescent="0.3">
      <c r="A33">
        <v>10032</v>
      </c>
      <c r="B33" s="2">
        <v>45116</v>
      </c>
      <c r="C33" t="s">
        <v>11</v>
      </c>
      <c r="D33" t="s">
        <v>15</v>
      </c>
      <c r="E33" t="s">
        <v>19</v>
      </c>
      <c r="F33" t="s">
        <v>25</v>
      </c>
      <c r="G33">
        <v>4</v>
      </c>
      <c r="H33" s="4">
        <v>75</v>
      </c>
      <c r="I33" s="4">
        <v>300</v>
      </c>
      <c r="J33" t="str">
        <f>IF(Table1[[#This Row],[Revenue (£)]]&lt;500, "small", IF(Table1[[#This Row],[Revenue (£)]]&lt;2000, "medium", "Large"))</f>
        <v>small</v>
      </c>
    </row>
    <row r="34" spans="1:10" x14ac:dyDescent="0.3">
      <c r="A34">
        <v>10033</v>
      </c>
      <c r="B34" s="2">
        <v>45170</v>
      </c>
      <c r="C34" t="s">
        <v>11</v>
      </c>
      <c r="D34" t="s">
        <v>18</v>
      </c>
      <c r="E34" t="s">
        <v>20</v>
      </c>
      <c r="F34" t="s">
        <v>26</v>
      </c>
      <c r="G34">
        <v>11</v>
      </c>
      <c r="H34" s="4">
        <v>220</v>
      </c>
      <c r="I34" s="4">
        <v>2420</v>
      </c>
      <c r="J34" t="str">
        <f>IF(Table1[[#This Row],[Revenue (£)]]&lt;500, "small", IF(Table1[[#This Row],[Revenue (£)]]&lt;2000, "medium", "Large"))</f>
        <v>Large</v>
      </c>
    </row>
    <row r="35" spans="1:10" x14ac:dyDescent="0.3">
      <c r="A35">
        <v>10034</v>
      </c>
      <c r="B35" s="2">
        <v>45431</v>
      </c>
      <c r="C35" t="s">
        <v>13</v>
      </c>
      <c r="D35" t="s">
        <v>16</v>
      </c>
      <c r="E35" t="s">
        <v>19</v>
      </c>
      <c r="F35" t="s">
        <v>25</v>
      </c>
      <c r="G35">
        <v>6</v>
      </c>
      <c r="H35" s="4">
        <v>75</v>
      </c>
      <c r="I35" s="4">
        <v>450</v>
      </c>
      <c r="J35" t="str">
        <f>IF(Table1[[#This Row],[Revenue (£)]]&lt;500, "small", IF(Table1[[#This Row],[Revenue (£)]]&lt;2000, "medium", "Large"))</f>
        <v>small</v>
      </c>
    </row>
    <row r="36" spans="1:10" x14ac:dyDescent="0.3">
      <c r="A36">
        <v>10035</v>
      </c>
      <c r="B36" s="2">
        <v>45057</v>
      </c>
      <c r="C36" t="s">
        <v>12</v>
      </c>
      <c r="D36" t="s">
        <v>15</v>
      </c>
      <c r="E36" t="s">
        <v>19</v>
      </c>
      <c r="F36" t="s">
        <v>25</v>
      </c>
      <c r="G36">
        <v>1</v>
      </c>
      <c r="H36" s="4">
        <v>75</v>
      </c>
      <c r="I36" s="4">
        <v>75</v>
      </c>
      <c r="J36" t="str">
        <f>IF(Table1[[#This Row],[Revenue (£)]]&lt;500, "small", IF(Table1[[#This Row],[Revenue (£)]]&lt;2000, "medium", "Large"))</f>
        <v>small</v>
      </c>
    </row>
    <row r="37" spans="1:10" x14ac:dyDescent="0.3">
      <c r="A37">
        <v>10036</v>
      </c>
      <c r="B37" s="2">
        <v>45411</v>
      </c>
      <c r="C37" t="s">
        <v>10</v>
      </c>
      <c r="D37" t="s">
        <v>15</v>
      </c>
      <c r="E37" t="s">
        <v>20</v>
      </c>
      <c r="F37" t="s">
        <v>26</v>
      </c>
      <c r="G37">
        <v>9</v>
      </c>
      <c r="H37" s="4">
        <v>220</v>
      </c>
      <c r="I37" s="4">
        <v>1980</v>
      </c>
      <c r="J37" t="str">
        <f>IF(Table1[[#This Row],[Revenue (£)]]&lt;500, "small", IF(Table1[[#This Row],[Revenue (£)]]&lt;2000, "medium", "Large"))</f>
        <v>medium</v>
      </c>
    </row>
    <row r="38" spans="1:10" x14ac:dyDescent="0.3">
      <c r="A38">
        <v>10037</v>
      </c>
      <c r="B38" s="2">
        <v>44947</v>
      </c>
      <c r="C38" t="s">
        <v>11</v>
      </c>
      <c r="D38" t="s">
        <v>14</v>
      </c>
      <c r="E38" t="s">
        <v>19</v>
      </c>
      <c r="F38" t="s">
        <v>25</v>
      </c>
      <c r="G38">
        <v>1</v>
      </c>
      <c r="H38" s="4">
        <v>75</v>
      </c>
      <c r="I38" s="4">
        <v>75</v>
      </c>
      <c r="J38" t="str">
        <f>IF(Table1[[#This Row],[Revenue (£)]]&lt;500, "small", IF(Table1[[#This Row],[Revenue (£)]]&lt;2000, "medium", "Large"))</f>
        <v>small</v>
      </c>
    </row>
    <row r="39" spans="1:10" x14ac:dyDescent="0.3">
      <c r="A39">
        <v>10038</v>
      </c>
      <c r="B39" s="2">
        <v>45093</v>
      </c>
      <c r="C39" t="s">
        <v>10</v>
      </c>
      <c r="D39" t="s">
        <v>14</v>
      </c>
      <c r="E39" t="s">
        <v>22</v>
      </c>
      <c r="F39" t="s">
        <v>25</v>
      </c>
      <c r="G39">
        <v>5</v>
      </c>
      <c r="H39" s="4">
        <v>45</v>
      </c>
      <c r="I39" s="4">
        <v>225</v>
      </c>
      <c r="J39" t="str">
        <f>IF(Table1[[#This Row],[Revenue (£)]]&lt;500, "small", IF(Table1[[#This Row],[Revenue (£)]]&lt;2000, "medium", "Large"))</f>
        <v>small</v>
      </c>
    </row>
    <row r="40" spans="1:10" x14ac:dyDescent="0.3">
      <c r="A40">
        <v>10039</v>
      </c>
      <c r="B40" s="2">
        <v>45200</v>
      </c>
      <c r="C40" t="s">
        <v>9</v>
      </c>
      <c r="D40" t="s">
        <v>15</v>
      </c>
      <c r="E40" t="s">
        <v>24</v>
      </c>
      <c r="F40" t="s">
        <v>25</v>
      </c>
      <c r="G40">
        <v>4</v>
      </c>
      <c r="H40" s="4">
        <v>30</v>
      </c>
      <c r="I40" s="4">
        <v>120</v>
      </c>
      <c r="J40" t="str">
        <f>IF(Table1[[#This Row],[Revenue (£)]]&lt;500, "small", IF(Table1[[#This Row],[Revenue (£)]]&lt;2000, "medium", "Large"))</f>
        <v>small</v>
      </c>
    </row>
    <row r="41" spans="1:10" x14ac:dyDescent="0.3">
      <c r="A41">
        <v>10040</v>
      </c>
      <c r="B41" s="2">
        <v>45314</v>
      </c>
      <c r="C41" t="s">
        <v>13</v>
      </c>
      <c r="D41" t="s">
        <v>14</v>
      </c>
      <c r="E41" t="s">
        <v>20</v>
      </c>
      <c r="F41" t="s">
        <v>26</v>
      </c>
      <c r="G41">
        <v>13</v>
      </c>
      <c r="H41" s="4">
        <v>220</v>
      </c>
      <c r="I41" s="4">
        <v>2860</v>
      </c>
      <c r="J41" t="str">
        <f>IF(Table1[[#This Row],[Revenue (£)]]&lt;500, "small", IF(Table1[[#This Row],[Revenue (£)]]&lt;2000, "medium", "Large"))</f>
        <v>Large</v>
      </c>
    </row>
    <row r="42" spans="1:10" x14ac:dyDescent="0.3">
      <c r="A42">
        <v>10041</v>
      </c>
      <c r="B42" s="2">
        <v>45242</v>
      </c>
      <c r="C42" t="s">
        <v>9</v>
      </c>
      <c r="D42" t="s">
        <v>16</v>
      </c>
      <c r="E42" t="s">
        <v>21</v>
      </c>
      <c r="F42" t="s">
        <v>25</v>
      </c>
      <c r="G42">
        <v>12</v>
      </c>
      <c r="H42" s="4">
        <v>180</v>
      </c>
      <c r="I42" s="4">
        <v>2160</v>
      </c>
      <c r="J42" t="str">
        <f>IF(Table1[[#This Row],[Revenue (£)]]&lt;500, "small", IF(Table1[[#This Row],[Revenue (£)]]&lt;2000, "medium", "Large"))</f>
        <v>Large</v>
      </c>
    </row>
    <row r="43" spans="1:10" x14ac:dyDescent="0.3">
      <c r="A43">
        <v>10042</v>
      </c>
      <c r="B43" s="2">
        <v>44940</v>
      </c>
      <c r="C43" t="s">
        <v>10</v>
      </c>
      <c r="D43" t="s">
        <v>17</v>
      </c>
      <c r="E43" t="s">
        <v>19</v>
      </c>
      <c r="F43" t="s">
        <v>25</v>
      </c>
      <c r="G43">
        <v>13</v>
      </c>
      <c r="H43" s="4">
        <v>75</v>
      </c>
      <c r="I43" s="4">
        <v>975</v>
      </c>
      <c r="J43" t="str">
        <f>IF(Table1[[#This Row],[Revenue (£)]]&lt;500, "small", IF(Table1[[#This Row],[Revenue (£)]]&lt;2000, "medium", "Large"))</f>
        <v>medium</v>
      </c>
    </row>
    <row r="44" spans="1:10" x14ac:dyDescent="0.3">
      <c r="A44">
        <v>10043</v>
      </c>
      <c r="B44" s="2">
        <v>45168</v>
      </c>
      <c r="C44" t="s">
        <v>10</v>
      </c>
      <c r="D44" t="s">
        <v>16</v>
      </c>
      <c r="E44" t="s">
        <v>20</v>
      </c>
      <c r="F44" t="s">
        <v>26</v>
      </c>
      <c r="G44">
        <v>13</v>
      </c>
      <c r="H44" s="4">
        <v>220</v>
      </c>
      <c r="I44" s="4">
        <v>2860</v>
      </c>
      <c r="J44" t="str">
        <f>IF(Table1[[#This Row],[Revenue (£)]]&lt;500, "small", IF(Table1[[#This Row],[Revenue (£)]]&lt;2000, "medium", "Large"))</f>
        <v>Large</v>
      </c>
    </row>
    <row r="45" spans="1:10" x14ac:dyDescent="0.3">
      <c r="A45">
        <v>10044</v>
      </c>
      <c r="B45" s="2">
        <v>45272</v>
      </c>
      <c r="C45" t="s">
        <v>12</v>
      </c>
      <c r="D45" t="s">
        <v>15</v>
      </c>
      <c r="E45" t="s">
        <v>23</v>
      </c>
      <c r="F45" t="s">
        <v>26</v>
      </c>
      <c r="G45">
        <v>14</v>
      </c>
      <c r="H45" s="4">
        <v>850</v>
      </c>
      <c r="I45" s="4">
        <v>11900</v>
      </c>
      <c r="J45" t="str">
        <f>IF(Table1[[#This Row],[Revenue (£)]]&lt;500, "small", IF(Table1[[#This Row],[Revenue (£)]]&lt;2000, "medium", "Large"))</f>
        <v>Large</v>
      </c>
    </row>
    <row r="46" spans="1:10" x14ac:dyDescent="0.3">
      <c r="A46">
        <v>10045</v>
      </c>
      <c r="B46" s="2">
        <v>45266</v>
      </c>
      <c r="C46" t="s">
        <v>11</v>
      </c>
      <c r="D46" t="s">
        <v>15</v>
      </c>
      <c r="E46" t="s">
        <v>23</v>
      </c>
      <c r="F46" t="s">
        <v>26</v>
      </c>
      <c r="G46">
        <v>3</v>
      </c>
      <c r="H46" s="4">
        <v>850</v>
      </c>
      <c r="I46" s="4">
        <v>2550</v>
      </c>
      <c r="J46" t="str">
        <f>IF(Table1[[#This Row],[Revenue (£)]]&lt;500, "small", IF(Table1[[#This Row],[Revenue (£)]]&lt;2000, "medium", "Large"))</f>
        <v>Large</v>
      </c>
    </row>
    <row r="47" spans="1:10" x14ac:dyDescent="0.3">
      <c r="A47">
        <v>10046</v>
      </c>
      <c r="B47" s="2">
        <v>45018</v>
      </c>
      <c r="C47" t="s">
        <v>11</v>
      </c>
      <c r="D47" t="s">
        <v>16</v>
      </c>
      <c r="E47" t="s">
        <v>24</v>
      </c>
      <c r="F47" t="s">
        <v>25</v>
      </c>
      <c r="G47">
        <v>13</v>
      </c>
      <c r="H47" s="4">
        <v>30</v>
      </c>
      <c r="I47" s="4">
        <v>390</v>
      </c>
      <c r="J47" t="str">
        <f>IF(Table1[[#This Row],[Revenue (£)]]&lt;500, "small", IF(Table1[[#This Row],[Revenue (£)]]&lt;2000, "medium", "Large"))</f>
        <v>small</v>
      </c>
    </row>
    <row r="48" spans="1:10" x14ac:dyDescent="0.3">
      <c r="A48">
        <v>10047</v>
      </c>
      <c r="B48" s="2">
        <v>45293</v>
      </c>
      <c r="C48" t="s">
        <v>9</v>
      </c>
      <c r="D48" t="s">
        <v>14</v>
      </c>
      <c r="E48" t="s">
        <v>22</v>
      </c>
      <c r="F48" t="s">
        <v>25</v>
      </c>
      <c r="G48">
        <v>6</v>
      </c>
      <c r="H48" s="4">
        <v>45</v>
      </c>
      <c r="I48" s="4">
        <v>270</v>
      </c>
      <c r="J48" t="str">
        <f>IF(Table1[[#This Row],[Revenue (£)]]&lt;500, "small", IF(Table1[[#This Row],[Revenue (£)]]&lt;2000, "medium", "Large"))</f>
        <v>small</v>
      </c>
    </row>
    <row r="49" spans="1:10" x14ac:dyDescent="0.3">
      <c r="A49">
        <v>10048</v>
      </c>
      <c r="B49" s="2">
        <v>45381</v>
      </c>
      <c r="C49" t="s">
        <v>13</v>
      </c>
      <c r="D49" t="s">
        <v>14</v>
      </c>
      <c r="E49" t="s">
        <v>24</v>
      </c>
      <c r="F49" t="s">
        <v>25</v>
      </c>
      <c r="G49">
        <v>2</v>
      </c>
      <c r="H49" s="4">
        <v>30</v>
      </c>
      <c r="I49" s="4">
        <v>60</v>
      </c>
      <c r="J49" t="str">
        <f>IF(Table1[[#This Row],[Revenue (£)]]&lt;500, "small", IF(Table1[[#This Row],[Revenue (£)]]&lt;2000, "medium", "Large"))</f>
        <v>small</v>
      </c>
    </row>
    <row r="50" spans="1:10" x14ac:dyDescent="0.3">
      <c r="A50">
        <v>10049</v>
      </c>
      <c r="B50" s="2">
        <v>45354</v>
      </c>
      <c r="C50" t="s">
        <v>11</v>
      </c>
      <c r="D50" t="s">
        <v>15</v>
      </c>
      <c r="E50" t="s">
        <v>24</v>
      </c>
      <c r="F50" t="s">
        <v>25</v>
      </c>
      <c r="G50">
        <v>3</v>
      </c>
      <c r="H50" s="4">
        <v>30</v>
      </c>
      <c r="I50" s="4">
        <v>90</v>
      </c>
      <c r="J50" t="str">
        <f>IF(Table1[[#This Row],[Revenue (£)]]&lt;500, "small", IF(Table1[[#This Row],[Revenue (£)]]&lt;2000, "medium", "Large"))</f>
        <v>small</v>
      </c>
    </row>
    <row r="51" spans="1:10" x14ac:dyDescent="0.3">
      <c r="A51">
        <v>10050</v>
      </c>
      <c r="B51" s="2">
        <v>45435</v>
      </c>
      <c r="C51" t="s">
        <v>12</v>
      </c>
      <c r="D51" t="s">
        <v>18</v>
      </c>
      <c r="E51" t="s">
        <v>24</v>
      </c>
      <c r="F51" t="s">
        <v>25</v>
      </c>
      <c r="G51">
        <v>5</v>
      </c>
      <c r="H51" s="4">
        <v>30</v>
      </c>
      <c r="I51" s="4">
        <v>150</v>
      </c>
      <c r="J51" t="str">
        <f>IF(Table1[[#This Row],[Revenue (£)]]&lt;500, "small", IF(Table1[[#This Row],[Revenue (£)]]&lt;2000, "medium", "Large"))</f>
        <v>small</v>
      </c>
    </row>
    <row r="52" spans="1:10" x14ac:dyDescent="0.3">
      <c r="A52">
        <v>10051</v>
      </c>
      <c r="B52" s="2">
        <v>44961</v>
      </c>
      <c r="C52" t="s">
        <v>9</v>
      </c>
      <c r="D52" t="s">
        <v>14</v>
      </c>
      <c r="E52" t="s">
        <v>24</v>
      </c>
      <c r="F52" t="s">
        <v>25</v>
      </c>
      <c r="G52">
        <v>9</v>
      </c>
      <c r="H52" s="4">
        <v>30</v>
      </c>
      <c r="I52" s="4">
        <v>270</v>
      </c>
      <c r="J52" t="str">
        <f>IF(Table1[[#This Row],[Revenue (£)]]&lt;500, "small", IF(Table1[[#This Row],[Revenue (£)]]&lt;2000, "medium", "Large"))</f>
        <v>small</v>
      </c>
    </row>
    <row r="53" spans="1:10" x14ac:dyDescent="0.3">
      <c r="A53">
        <v>10052</v>
      </c>
      <c r="B53" s="2">
        <v>45132</v>
      </c>
      <c r="C53" t="s">
        <v>9</v>
      </c>
      <c r="D53" t="s">
        <v>16</v>
      </c>
      <c r="E53" t="s">
        <v>21</v>
      </c>
      <c r="F53" t="s">
        <v>25</v>
      </c>
      <c r="G53">
        <v>2</v>
      </c>
      <c r="H53" s="4">
        <v>180</v>
      </c>
      <c r="I53" s="4">
        <v>360</v>
      </c>
      <c r="J53" t="str">
        <f>IF(Table1[[#This Row],[Revenue (£)]]&lt;500, "small", IF(Table1[[#This Row],[Revenue (£)]]&lt;2000, "medium", "Large"))</f>
        <v>small</v>
      </c>
    </row>
    <row r="54" spans="1:10" x14ac:dyDescent="0.3">
      <c r="A54">
        <v>10053</v>
      </c>
      <c r="B54" s="2">
        <v>45007</v>
      </c>
      <c r="C54" t="s">
        <v>12</v>
      </c>
      <c r="D54" t="s">
        <v>14</v>
      </c>
      <c r="E54" t="s">
        <v>21</v>
      </c>
      <c r="F54" t="s">
        <v>25</v>
      </c>
      <c r="G54">
        <v>10</v>
      </c>
      <c r="H54" s="4">
        <v>180</v>
      </c>
      <c r="I54" s="4">
        <v>1800</v>
      </c>
      <c r="J54" t="str">
        <f>IF(Table1[[#This Row],[Revenue (£)]]&lt;500, "small", IF(Table1[[#This Row],[Revenue (£)]]&lt;2000, "medium", "Large"))</f>
        <v>medium</v>
      </c>
    </row>
    <row r="55" spans="1:10" x14ac:dyDescent="0.3">
      <c r="A55">
        <v>10054</v>
      </c>
      <c r="B55" s="2">
        <v>45314</v>
      </c>
      <c r="C55" t="s">
        <v>13</v>
      </c>
      <c r="D55" t="s">
        <v>16</v>
      </c>
      <c r="E55" t="s">
        <v>20</v>
      </c>
      <c r="F55" t="s">
        <v>26</v>
      </c>
      <c r="G55">
        <v>8</v>
      </c>
      <c r="H55" s="4">
        <v>220</v>
      </c>
      <c r="I55" s="4">
        <v>1760</v>
      </c>
      <c r="J55" t="str">
        <f>IF(Table1[[#This Row],[Revenue (£)]]&lt;500, "small", IF(Table1[[#This Row],[Revenue (£)]]&lt;2000, "medium", "Large"))</f>
        <v>medium</v>
      </c>
    </row>
    <row r="56" spans="1:10" x14ac:dyDescent="0.3">
      <c r="A56">
        <v>10055</v>
      </c>
      <c r="B56" s="2">
        <v>44928</v>
      </c>
      <c r="C56" t="s">
        <v>12</v>
      </c>
      <c r="D56" t="s">
        <v>15</v>
      </c>
      <c r="E56" t="s">
        <v>23</v>
      </c>
      <c r="F56" t="s">
        <v>26</v>
      </c>
      <c r="G56">
        <v>14</v>
      </c>
      <c r="H56" s="4">
        <v>850</v>
      </c>
      <c r="I56" s="4">
        <v>11900</v>
      </c>
      <c r="J56" t="str">
        <f>IF(Table1[[#This Row],[Revenue (£)]]&lt;500, "small", IF(Table1[[#This Row],[Revenue (£)]]&lt;2000, "medium", "Large"))</f>
        <v>Large</v>
      </c>
    </row>
    <row r="57" spans="1:10" x14ac:dyDescent="0.3">
      <c r="A57">
        <v>10056</v>
      </c>
      <c r="B57" s="2">
        <v>45316</v>
      </c>
      <c r="C57" t="s">
        <v>13</v>
      </c>
      <c r="D57" t="s">
        <v>14</v>
      </c>
      <c r="E57" t="s">
        <v>24</v>
      </c>
      <c r="F57" t="s">
        <v>25</v>
      </c>
      <c r="G57">
        <v>2</v>
      </c>
      <c r="H57" s="4">
        <v>30</v>
      </c>
      <c r="I57" s="4">
        <v>60</v>
      </c>
      <c r="J57" t="str">
        <f>IF(Table1[[#This Row],[Revenue (£)]]&lt;500, "small", IF(Table1[[#This Row],[Revenue (£)]]&lt;2000, "medium", "Large"))</f>
        <v>small</v>
      </c>
    </row>
    <row r="58" spans="1:10" x14ac:dyDescent="0.3">
      <c r="A58">
        <v>10057</v>
      </c>
      <c r="B58" s="2">
        <v>45032</v>
      </c>
      <c r="C58" t="s">
        <v>12</v>
      </c>
      <c r="D58" t="s">
        <v>16</v>
      </c>
      <c r="E58" t="s">
        <v>20</v>
      </c>
      <c r="F58" t="s">
        <v>26</v>
      </c>
      <c r="G58">
        <v>11</v>
      </c>
      <c r="H58" s="4">
        <v>220</v>
      </c>
      <c r="I58" s="4">
        <v>2420</v>
      </c>
      <c r="J58" t="str">
        <f>IF(Table1[[#This Row],[Revenue (£)]]&lt;500, "small", IF(Table1[[#This Row],[Revenue (£)]]&lt;2000, "medium", "Large"))</f>
        <v>Large</v>
      </c>
    </row>
    <row r="59" spans="1:10" x14ac:dyDescent="0.3">
      <c r="A59">
        <v>10058</v>
      </c>
      <c r="B59" s="2">
        <v>45403</v>
      </c>
      <c r="C59" t="s">
        <v>12</v>
      </c>
      <c r="D59" t="s">
        <v>15</v>
      </c>
      <c r="E59" t="s">
        <v>23</v>
      </c>
      <c r="F59" t="s">
        <v>26</v>
      </c>
      <c r="G59">
        <v>13</v>
      </c>
      <c r="H59" s="4">
        <v>850</v>
      </c>
      <c r="I59" s="4">
        <v>11050</v>
      </c>
      <c r="J59" t="str">
        <f>IF(Table1[[#This Row],[Revenue (£)]]&lt;500, "small", IF(Table1[[#This Row],[Revenue (£)]]&lt;2000, "medium", "Large"))</f>
        <v>Large</v>
      </c>
    </row>
    <row r="60" spans="1:10" x14ac:dyDescent="0.3">
      <c r="A60">
        <v>10059</v>
      </c>
      <c r="B60" s="2">
        <v>45328</v>
      </c>
      <c r="C60" t="s">
        <v>10</v>
      </c>
      <c r="D60" t="s">
        <v>18</v>
      </c>
      <c r="E60" t="s">
        <v>19</v>
      </c>
      <c r="F60" t="s">
        <v>25</v>
      </c>
      <c r="G60">
        <v>5</v>
      </c>
      <c r="H60" s="4">
        <v>75</v>
      </c>
      <c r="I60" s="4">
        <v>375</v>
      </c>
      <c r="J60" t="str">
        <f>IF(Table1[[#This Row],[Revenue (£)]]&lt;500, "small", IF(Table1[[#This Row],[Revenue (£)]]&lt;2000, "medium", "Large"))</f>
        <v>small</v>
      </c>
    </row>
    <row r="61" spans="1:10" x14ac:dyDescent="0.3">
      <c r="A61">
        <v>10060</v>
      </c>
      <c r="B61" s="2">
        <v>45088</v>
      </c>
      <c r="C61" t="s">
        <v>9</v>
      </c>
      <c r="D61" t="s">
        <v>16</v>
      </c>
      <c r="E61" t="s">
        <v>22</v>
      </c>
      <c r="F61" t="s">
        <v>25</v>
      </c>
      <c r="G61">
        <v>7</v>
      </c>
      <c r="H61" s="4">
        <v>45</v>
      </c>
      <c r="I61" s="4">
        <v>315</v>
      </c>
      <c r="J61" t="str">
        <f>IF(Table1[[#This Row],[Revenue (£)]]&lt;500, "small", IF(Table1[[#This Row],[Revenue (£)]]&lt;2000, "medium", "Large"))</f>
        <v>small</v>
      </c>
    </row>
    <row r="62" spans="1:10" x14ac:dyDescent="0.3">
      <c r="A62">
        <v>10061</v>
      </c>
      <c r="B62" s="2">
        <v>45128</v>
      </c>
      <c r="C62" t="s">
        <v>12</v>
      </c>
      <c r="D62" t="s">
        <v>18</v>
      </c>
      <c r="E62" t="s">
        <v>21</v>
      </c>
      <c r="F62" t="s">
        <v>25</v>
      </c>
      <c r="G62">
        <v>8</v>
      </c>
      <c r="H62" s="4">
        <v>180</v>
      </c>
      <c r="I62" s="4">
        <v>1440</v>
      </c>
      <c r="J62" t="str">
        <f>IF(Table1[[#This Row],[Revenue (£)]]&lt;500, "small", IF(Table1[[#This Row],[Revenue (£)]]&lt;2000, "medium", "Large"))</f>
        <v>medium</v>
      </c>
    </row>
    <row r="63" spans="1:10" x14ac:dyDescent="0.3">
      <c r="A63">
        <v>10062</v>
      </c>
      <c r="B63" s="2">
        <v>45196</v>
      </c>
      <c r="C63" t="s">
        <v>12</v>
      </c>
      <c r="D63" t="s">
        <v>18</v>
      </c>
      <c r="E63" t="s">
        <v>19</v>
      </c>
      <c r="F63" t="s">
        <v>25</v>
      </c>
      <c r="G63">
        <v>1</v>
      </c>
      <c r="H63" s="4">
        <v>75</v>
      </c>
      <c r="I63" s="4">
        <v>75</v>
      </c>
      <c r="J63" t="str">
        <f>IF(Table1[[#This Row],[Revenue (£)]]&lt;500, "small", IF(Table1[[#This Row],[Revenue (£)]]&lt;2000, "medium", "Large"))</f>
        <v>small</v>
      </c>
    </row>
    <row r="64" spans="1:10" x14ac:dyDescent="0.3">
      <c r="A64">
        <v>10063</v>
      </c>
      <c r="B64" s="2">
        <v>45197</v>
      </c>
      <c r="C64" t="s">
        <v>11</v>
      </c>
      <c r="D64" t="s">
        <v>17</v>
      </c>
      <c r="E64" t="s">
        <v>23</v>
      </c>
      <c r="F64" t="s">
        <v>26</v>
      </c>
      <c r="G64">
        <v>6</v>
      </c>
      <c r="H64" s="4">
        <v>850</v>
      </c>
      <c r="I64" s="4">
        <v>5100</v>
      </c>
      <c r="J64" t="str">
        <f>IF(Table1[[#This Row],[Revenue (£)]]&lt;500, "small", IF(Table1[[#This Row],[Revenue (£)]]&lt;2000, "medium", "Large"))</f>
        <v>Large</v>
      </c>
    </row>
    <row r="65" spans="1:10" x14ac:dyDescent="0.3">
      <c r="A65">
        <v>10064</v>
      </c>
      <c r="B65" s="2">
        <v>45382</v>
      </c>
      <c r="C65" t="s">
        <v>9</v>
      </c>
      <c r="D65" t="s">
        <v>14</v>
      </c>
      <c r="E65" t="s">
        <v>19</v>
      </c>
      <c r="F65" t="s">
        <v>25</v>
      </c>
      <c r="G65">
        <v>1</v>
      </c>
      <c r="H65" s="4">
        <v>75</v>
      </c>
      <c r="I65" s="4">
        <v>75</v>
      </c>
      <c r="J65" t="str">
        <f>IF(Table1[[#This Row],[Revenue (£)]]&lt;500, "small", IF(Table1[[#This Row],[Revenue (£)]]&lt;2000, "medium", "Large"))</f>
        <v>small</v>
      </c>
    </row>
    <row r="66" spans="1:10" x14ac:dyDescent="0.3">
      <c r="A66">
        <v>10065</v>
      </c>
      <c r="B66" s="2">
        <v>45388</v>
      </c>
      <c r="C66" t="s">
        <v>11</v>
      </c>
      <c r="D66" t="s">
        <v>16</v>
      </c>
      <c r="E66" t="s">
        <v>22</v>
      </c>
      <c r="F66" t="s">
        <v>25</v>
      </c>
      <c r="G66">
        <v>2</v>
      </c>
      <c r="H66" s="4">
        <v>45</v>
      </c>
      <c r="I66" s="4">
        <v>90</v>
      </c>
      <c r="J66" t="str">
        <f>IF(Table1[[#This Row],[Revenue (£)]]&lt;500, "small", IF(Table1[[#This Row],[Revenue (£)]]&lt;2000, "medium", "Large"))</f>
        <v>small</v>
      </c>
    </row>
    <row r="67" spans="1:10" x14ac:dyDescent="0.3">
      <c r="A67">
        <v>10066</v>
      </c>
      <c r="B67" s="2">
        <v>45178</v>
      </c>
      <c r="C67" t="s">
        <v>9</v>
      </c>
      <c r="D67" t="s">
        <v>18</v>
      </c>
      <c r="E67" t="s">
        <v>23</v>
      </c>
      <c r="F67" t="s">
        <v>26</v>
      </c>
      <c r="G67">
        <v>1</v>
      </c>
      <c r="H67" s="4">
        <v>850</v>
      </c>
      <c r="I67" s="4">
        <v>850</v>
      </c>
      <c r="J67" t="str">
        <f>IF(Table1[[#This Row],[Revenue (£)]]&lt;500, "small", IF(Table1[[#This Row],[Revenue (£)]]&lt;2000, "medium", "Large"))</f>
        <v>medium</v>
      </c>
    </row>
    <row r="68" spans="1:10" x14ac:dyDescent="0.3">
      <c r="A68">
        <v>10067</v>
      </c>
      <c r="B68" s="2">
        <v>45222</v>
      </c>
      <c r="C68" t="s">
        <v>11</v>
      </c>
      <c r="D68" t="s">
        <v>17</v>
      </c>
      <c r="E68" t="s">
        <v>19</v>
      </c>
      <c r="F68" t="s">
        <v>25</v>
      </c>
      <c r="G68">
        <v>11</v>
      </c>
      <c r="H68" s="4">
        <v>75</v>
      </c>
      <c r="I68" s="4">
        <v>825</v>
      </c>
      <c r="J68" t="str">
        <f>IF(Table1[[#This Row],[Revenue (£)]]&lt;500, "small", IF(Table1[[#This Row],[Revenue (£)]]&lt;2000, "medium", "Large"))</f>
        <v>medium</v>
      </c>
    </row>
    <row r="69" spans="1:10" x14ac:dyDescent="0.3">
      <c r="A69">
        <v>10068</v>
      </c>
      <c r="B69" s="2">
        <v>45264</v>
      </c>
      <c r="C69" t="s">
        <v>12</v>
      </c>
      <c r="D69" t="s">
        <v>15</v>
      </c>
      <c r="E69" t="s">
        <v>21</v>
      </c>
      <c r="F69" t="s">
        <v>25</v>
      </c>
      <c r="G69">
        <v>5</v>
      </c>
      <c r="H69" s="4">
        <v>180</v>
      </c>
      <c r="I69" s="4">
        <v>900</v>
      </c>
      <c r="J69" t="str">
        <f>IF(Table1[[#This Row],[Revenue (£)]]&lt;500, "small", IF(Table1[[#This Row],[Revenue (£)]]&lt;2000, "medium", "Large"))</f>
        <v>medium</v>
      </c>
    </row>
    <row r="70" spans="1:10" x14ac:dyDescent="0.3">
      <c r="A70">
        <v>10069</v>
      </c>
      <c r="B70" s="2">
        <v>44979</v>
      </c>
      <c r="C70" t="s">
        <v>12</v>
      </c>
      <c r="D70" t="s">
        <v>16</v>
      </c>
      <c r="E70" t="s">
        <v>21</v>
      </c>
      <c r="F70" t="s">
        <v>25</v>
      </c>
      <c r="G70">
        <v>10</v>
      </c>
      <c r="H70" s="4">
        <v>180</v>
      </c>
      <c r="I70" s="4">
        <v>1800</v>
      </c>
      <c r="J70" t="str">
        <f>IF(Table1[[#This Row],[Revenue (£)]]&lt;500, "small", IF(Table1[[#This Row],[Revenue (£)]]&lt;2000, "medium", "Large"))</f>
        <v>medium</v>
      </c>
    </row>
    <row r="71" spans="1:10" x14ac:dyDescent="0.3">
      <c r="A71">
        <v>10070</v>
      </c>
      <c r="B71" s="2">
        <v>45143</v>
      </c>
      <c r="C71" t="s">
        <v>10</v>
      </c>
      <c r="D71" t="s">
        <v>18</v>
      </c>
      <c r="E71" t="s">
        <v>20</v>
      </c>
      <c r="F71" t="s">
        <v>26</v>
      </c>
      <c r="G71">
        <v>9</v>
      </c>
      <c r="H71" s="4">
        <v>220</v>
      </c>
      <c r="I71" s="4">
        <v>1980</v>
      </c>
      <c r="J71" t="str">
        <f>IF(Table1[[#This Row],[Revenue (£)]]&lt;500, "small", IF(Table1[[#This Row],[Revenue (£)]]&lt;2000, "medium", "Large"))</f>
        <v>medium</v>
      </c>
    </row>
    <row r="72" spans="1:10" x14ac:dyDescent="0.3">
      <c r="A72">
        <v>10071</v>
      </c>
      <c r="B72" s="2">
        <v>45114</v>
      </c>
      <c r="C72" t="s">
        <v>11</v>
      </c>
      <c r="D72" t="s">
        <v>14</v>
      </c>
      <c r="E72" t="s">
        <v>19</v>
      </c>
      <c r="F72" t="s">
        <v>25</v>
      </c>
      <c r="G72">
        <v>6</v>
      </c>
      <c r="H72" s="4">
        <v>75</v>
      </c>
      <c r="I72" s="4">
        <v>450</v>
      </c>
      <c r="J72" t="str">
        <f>IF(Table1[[#This Row],[Revenue (£)]]&lt;500, "small", IF(Table1[[#This Row],[Revenue (£)]]&lt;2000, "medium", "Large"))</f>
        <v>small</v>
      </c>
    </row>
    <row r="73" spans="1:10" x14ac:dyDescent="0.3">
      <c r="A73">
        <v>10072</v>
      </c>
      <c r="B73" s="2">
        <v>45306</v>
      </c>
      <c r="C73" t="s">
        <v>13</v>
      </c>
      <c r="D73" t="s">
        <v>17</v>
      </c>
      <c r="E73" t="s">
        <v>24</v>
      </c>
      <c r="F73" t="s">
        <v>25</v>
      </c>
      <c r="G73">
        <v>11</v>
      </c>
      <c r="H73" s="4">
        <v>30</v>
      </c>
      <c r="I73" s="4">
        <v>330</v>
      </c>
      <c r="J73" t="str">
        <f>IF(Table1[[#This Row],[Revenue (£)]]&lt;500, "small", IF(Table1[[#This Row],[Revenue (£)]]&lt;2000, "medium", "Large"))</f>
        <v>small</v>
      </c>
    </row>
    <row r="74" spans="1:10" x14ac:dyDescent="0.3">
      <c r="A74">
        <v>10073</v>
      </c>
      <c r="B74" s="2">
        <v>45419</v>
      </c>
      <c r="C74" t="s">
        <v>10</v>
      </c>
      <c r="D74" t="s">
        <v>18</v>
      </c>
      <c r="E74" t="s">
        <v>19</v>
      </c>
      <c r="F74" t="s">
        <v>25</v>
      </c>
      <c r="G74">
        <v>11</v>
      </c>
      <c r="H74" s="4">
        <v>75</v>
      </c>
      <c r="I74" s="4">
        <v>825</v>
      </c>
      <c r="J74" t="str">
        <f>IF(Table1[[#This Row],[Revenue (£)]]&lt;500, "small", IF(Table1[[#This Row],[Revenue (£)]]&lt;2000, "medium", "Large"))</f>
        <v>medium</v>
      </c>
    </row>
    <row r="75" spans="1:10" x14ac:dyDescent="0.3">
      <c r="A75">
        <v>10074</v>
      </c>
      <c r="B75" s="2">
        <v>44967</v>
      </c>
      <c r="C75" t="s">
        <v>11</v>
      </c>
      <c r="D75" t="s">
        <v>14</v>
      </c>
      <c r="E75" t="s">
        <v>23</v>
      </c>
      <c r="F75" t="s">
        <v>26</v>
      </c>
      <c r="G75">
        <v>1</v>
      </c>
      <c r="H75" s="4">
        <v>850</v>
      </c>
      <c r="I75" s="4">
        <v>850</v>
      </c>
      <c r="J75" t="str">
        <f>IF(Table1[[#This Row],[Revenue (£)]]&lt;500, "small", IF(Table1[[#This Row],[Revenue (£)]]&lt;2000, "medium", "Large"))</f>
        <v>medium</v>
      </c>
    </row>
    <row r="76" spans="1:10" x14ac:dyDescent="0.3">
      <c r="A76">
        <v>10075</v>
      </c>
      <c r="B76" s="2">
        <v>45083</v>
      </c>
      <c r="C76" t="s">
        <v>11</v>
      </c>
      <c r="D76" t="s">
        <v>18</v>
      </c>
      <c r="E76" t="s">
        <v>23</v>
      </c>
      <c r="F76" t="s">
        <v>26</v>
      </c>
      <c r="G76">
        <v>13</v>
      </c>
      <c r="H76" s="4">
        <v>850</v>
      </c>
      <c r="I76" s="4">
        <v>11050</v>
      </c>
      <c r="J76" t="str">
        <f>IF(Table1[[#This Row],[Revenue (£)]]&lt;500, "small", IF(Table1[[#This Row],[Revenue (£)]]&lt;2000, "medium", "Large"))</f>
        <v>Large</v>
      </c>
    </row>
    <row r="77" spans="1:10" x14ac:dyDescent="0.3">
      <c r="A77">
        <v>10076</v>
      </c>
      <c r="B77" s="2">
        <v>44941</v>
      </c>
      <c r="C77" t="s">
        <v>10</v>
      </c>
      <c r="D77" t="s">
        <v>16</v>
      </c>
      <c r="E77" t="s">
        <v>19</v>
      </c>
      <c r="F77" t="s">
        <v>25</v>
      </c>
      <c r="G77">
        <v>1</v>
      </c>
      <c r="H77" s="4">
        <v>75</v>
      </c>
      <c r="I77" s="4">
        <v>75</v>
      </c>
      <c r="J77" t="str">
        <f>IF(Table1[[#This Row],[Revenue (£)]]&lt;500, "small", IF(Table1[[#This Row],[Revenue (£)]]&lt;2000, "medium", "Large"))</f>
        <v>small</v>
      </c>
    </row>
    <row r="78" spans="1:10" x14ac:dyDescent="0.3">
      <c r="A78">
        <v>10077</v>
      </c>
      <c r="B78" s="2">
        <v>44991</v>
      </c>
      <c r="C78" t="s">
        <v>12</v>
      </c>
      <c r="D78" t="s">
        <v>16</v>
      </c>
      <c r="E78" t="s">
        <v>22</v>
      </c>
      <c r="F78" t="s">
        <v>25</v>
      </c>
      <c r="G78">
        <v>2</v>
      </c>
      <c r="H78" s="4">
        <v>45</v>
      </c>
      <c r="I78" s="4">
        <v>90</v>
      </c>
      <c r="J78" t="str">
        <f>IF(Table1[[#This Row],[Revenue (£)]]&lt;500, "small", IF(Table1[[#This Row],[Revenue (£)]]&lt;2000, "medium", "Large"))</f>
        <v>small</v>
      </c>
    </row>
    <row r="79" spans="1:10" x14ac:dyDescent="0.3">
      <c r="A79">
        <v>10078</v>
      </c>
      <c r="B79" s="2">
        <v>45447</v>
      </c>
      <c r="C79" t="s">
        <v>11</v>
      </c>
      <c r="D79" t="s">
        <v>16</v>
      </c>
      <c r="E79" t="s">
        <v>21</v>
      </c>
      <c r="F79" t="s">
        <v>25</v>
      </c>
      <c r="G79">
        <v>9</v>
      </c>
      <c r="H79" s="4">
        <v>180</v>
      </c>
      <c r="I79" s="4">
        <v>1620</v>
      </c>
      <c r="J79" t="str">
        <f>IF(Table1[[#This Row],[Revenue (£)]]&lt;500, "small", IF(Table1[[#This Row],[Revenue (£)]]&lt;2000, "medium", "Large"))</f>
        <v>medium</v>
      </c>
    </row>
    <row r="80" spans="1:10" x14ac:dyDescent="0.3">
      <c r="A80">
        <v>10079</v>
      </c>
      <c r="B80" s="2">
        <v>45270</v>
      </c>
      <c r="C80" t="s">
        <v>12</v>
      </c>
      <c r="D80" t="s">
        <v>17</v>
      </c>
      <c r="E80" t="s">
        <v>23</v>
      </c>
      <c r="F80" t="s">
        <v>26</v>
      </c>
      <c r="G80">
        <v>3</v>
      </c>
      <c r="H80" s="4">
        <v>850</v>
      </c>
      <c r="I80" s="4">
        <v>2550</v>
      </c>
      <c r="J80" t="str">
        <f>IF(Table1[[#This Row],[Revenue (£)]]&lt;500, "small", IF(Table1[[#This Row],[Revenue (£)]]&lt;2000, "medium", "Large"))</f>
        <v>Large</v>
      </c>
    </row>
    <row r="81" spans="1:10" x14ac:dyDescent="0.3">
      <c r="A81">
        <v>10080</v>
      </c>
      <c r="B81" s="2">
        <v>45055</v>
      </c>
      <c r="C81" t="s">
        <v>10</v>
      </c>
      <c r="D81" t="s">
        <v>16</v>
      </c>
      <c r="E81" t="s">
        <v>21</v>
      </c>
      <c r="F81" t="s">
        <v>25</v>
      </c>
      <c r="G81">
        <v>1</v>
      </c>
      <c r="H81" s="4">
        <v>180</v>
      </c>
      <c r="I81" s="4">
        <v>180</v>
      </c>
      <c r="J81" t="str">
        <f>IF(Table1[[#This Row],[Revenue (£)]]&lt;500, "small", IF(Table1[[#This Row],[Revenue (£)]]&lt;2000, "medium", "Large"))</f>
        <v>small</v>
      </c>
    </row>
    <row r="82" spans="1:10" x14ac:dyDescent="0.3">
      <c r="A82">
        <v>10081</v>
      </c>
      <c r="B82" s="2">
        <v>45398</v>
      </c>
      <c r="C82" t="s">
        <v>12</v>
      </c>
      <c r="D82" t="s">
        <v>14</v>
      </c>
      <c r="E82" t="s">
        <v>23</v>
      </c>
      <c r="F82" t="s">
        <v>26</v>
      </c>
      <c r="G82">
        <v>5</v>
      </c>
      <c r="H82" s="4">
        <v>850</v>
      </c>
      <c r="I82" s="4">
        <v>4250</v>
      </c>
      <c r="J82" t="str">
        <f>IF(Table1[[#This Row],[Revenue (£)]]&lt;500, "small", IF(Table1[[#This Row],[Revenue (£)]]&lt;2000, "medium", "Large"))</f>
        <v>Large</v>
      </c>
    </row>
    <row r="83" spans="1:10" x14ac:dyDescent="0.3">
      <c r="A83">
        <v>10082</v>
      </c>
      <c r="B83" s="2">
        <v>44989</v>
      </c>
      <c r="C83" t="s">
        <v>9</v>
      </c>
      <c r="D83" t="s">
        <v>18</v>
      </c>
      <c r="E83" t="s">
        <v>20</v>
      </c>
      <c r="F83" t="s">
        <v>26</v>
      </c>
      <c r="G83">
        <v>7</v>
      </c>
      <c r="H83" s="4">
        <v>220</v>
      </c>
      <c r="I83" s="4">
        <v>1540</v>
      </c>
      <c r="J83" t="str">
        <f>IF(Table1[[#This Row],[Revenue (£)]]&lt;500, "small", IF(Table1[[#This Row],[Revenue (£)]]&lt;2000, "medium", "Large"))</f>
        <v>medium</v>
      </c>
    </row>
    <row r="84" spans="1:10" x14ac:dyDescent="0.3">
      <c r="A84">
        <v>10083</v>
      </c>
      <c r="B84" s="2">
        <v>45065</v>
      </c>
      <c r="C84" t="s">
        <v>13</v>
      </c>
      <c r="D84" t="s">
        <v>15</v>
      </c>
      <c r="E84" t="s">
        <v>24</v>
      </c>
      <c r="F84" t="s">
        <v>25</v>
      </c>
      <c r="G84">
        <v>6</v>
      </c>
      <c r="H84" s="4">
        <v>30</v>
      </c>
      <c r="I84" s="4">
        <v>180</v>
      </c>
      <c r="J84" t="str">
        <f>IF(Table1[[#This Row],[Revenue (£)]]&lt;500, "small", IF(Table1[[#This Row],[Revenue (£)]]&lt;2000, "medium", "Large"))</f>
        <v>small</v>
      </c>
    </row>
    <row r="85" spans="1:10" x14ac:dyDescent="0.3">
      <c r="A85">
        <v>10084</v>
      </c>
      <c r="B85" s="2">
        <v>45425</v>
      </c>
      <c r="C85" t="s">
        <v>11</v>
      </c>
      <c r="D85" t="s">
        <v>14</v>
      </c>
      <c r="E85" t="s">
        <v>23</v>
      </c>
      <c r="F85" t="s">
        <v>26</v>
      </c>
      <c r="G85">
        <v>12</v>
      </c>
      <c r="H85" s="4">
        <v>850</v>
      </c>
      <c r="I85" s="4">
        <v>10200</v>
      </c>
      <c r="J85" t="str">
        <f>IF(Table1[[#This Row],[Revenue (£)]]&lt;500, "small", IF(Table1[[#This Row],[Revenue (£)]]&lt;2000, "medium", "Large"))</f>
        <v>Large</v>
      </c>
    </row>
    <row r="86" spans="1:10" x14ac:dyDescent="0.3">
      <c r="A86">
        <v>10085</v>
      </c>
      <c r="B86" s="2">
        <v>45318</v>
      </c>
      <c r="C86" t="s">
        <v>13</v>
      </c>
      <c r="D86" t="s">
        <v>14</v>
      </c>
      <c r="E86" t="s">
        <v>21</v>
      </c>
      <c r="F86" t="s">
        <v>25</v>
      </c>
      <c r="G86">
        <v>1</v>
      </c>
      <c r="H86" s="4">
        <v>180</v>
      </c>
      <c r="I86" s="4">
        <v>180</v>
      </c>
      <c r="J86" t="str">
        <f>IF(Table1[[#This Row],[Revenue (£)]]&lt;500, "small", IF(Table1[[#This Row],[Revenue (£)]]&lt;2000, "medium", "Large"))</f>
        <v>small</v>
      </c>
    </row>
    <row r="87" spans="1:10" x14ac:dyDescent="0.3">
      <c r="A87">
        <v>10086</v>
      </c>
      <c r="B87" s="2">
        <v>45345</v>
      </c>
      <c r="C87" t="s">
        <v>12</v>
      </c>
      <c r="D87" t="s">
        <v>16</v>
      </c>
      <c r="E87" t="s">
        <v>20</v>
      </c>
      <c r="F87" t="s">
        <v>26</v>
      </c>
      <c r="G87">
        <v>5</v>
      </c>
      <c r="H87" s="4">
        <v>220</v>
      </c>
      <c r="I87" s="4">
        <v>1100</v>
      </c>
      <c r="J87" t="str">
        <f>IF(Table1[[#This Row],[Revenue (£)]]&lt;500, "small", IF(Table1[[#This Row],[Revenue (£)]]&lt;2000, "medium", "Large"))</f>
        <v>medium</v>
      </c>
    </row>
    <row r="88" spans="1:10" x14ac:dyDescent="0.3">
      <c r="A88">
        <v>10087</v>
      </c>
      <c r="B88" s="2">
        <v>45215</v>
      </c>
      <c r="C88" t="s">
        <v>11</v>
      </c>
      <c r="D88" t="s">
        <v>17</v>
      </c>
      <c r="E88" t="s">
        <v>23</v>
      </c>
      <c r="F88" t="s">
        <v>26</v>
      </c>
      <c r="G88">
        <v>5</v>
      </c>
      <c r="H88" s="4">
        <v>850</v>
      </c>
      <c r="I88" s="4">
        <v>4250</v>
      </c>
      <c r="J88" t="str">
        <f>IF(Table1[[#This Row],[Revenue (£)]]&lt;500, "small", IF(Table1[[#This Row],[Revenue (£)]]&lt;2000, "medium", "Large"))</f>
        <v>Large</v>
      </c>
    </row>
    <row r="89" spans="1:10" x14ac:dyDescent="0.3">
      <c r="A89">
        <v>10088</v>
      </c>
      <c r="B89" s="2">
        <v>45305</v>
      </c>
      <c r="C89" t="s">
        <v>12</v>
      </c>
      <c r="D89" t="s">
        <v>18</v>
      </c>
      <c r="E89" t="s">
        <v>22</v>
      </c>
      <c r="F89" t="s">
        <v>25</v>
      </c>
      <c r="G89">
        <v>6</v>
      </c>
      <c r="H89" s="4">
        <v>45</v>
      </c>
      <c r="I89" s="4">
        <v>270</v>
      </c>
      <c r="J89" t="str">
        <f>IF(Table1[[#This Row],[Revenue (£)]]&lt;500, "small", IF(Table1[[#This Row],[Revenue (£)]]&lt;2000, "medium", "Large"))</f>
        <v>small</v>
      </c>
    </row>
    <row r="90" spans="1:10" x14ac:dyDescent="0.3">
      <c r="A90">
        <v>10089</v>
      </c>
      <c r="B90" s="2">
        <v>45416</v>
      </c>
      <c r="C90" t="s">
        <v>9</v>
      </c>
      <c r="D90" t="s">
        <v>17</v>
      </c>
      <c r="E90" t="s">
        <v>24</v>
      </c>
      <c r="F90" t="s">
        <v>25</v>
      </c>
      <c r="G90">
        <v>3</v>
      </c>
      <c r="H90" s="4">
        <v>30</v>
      </c>
      <c r="I90" s="4">
        <v>90</v>
      </c>
      <c r="J90" t="str">
        <f>IF(Table1[[#This Row],[Revenue (£)]]&lt;500, "small", IF(Table1[[#This Row],[Revenue (£)]]&lt;2000, "medium", "Large"))</f>
        <v>small</v>
      </c>
    </row>
    <row r="91" spans="1:10" x14ac:dyDescent="0.3">
      <c r="A91">
        <v>10090</v>
      </c>
      <c r="B91" s="2">
        <v>45157</v>
      </c>
      <c r="C91" t="s">
        <v>10</v>
      </c>
      <c r="D91" t="s">
        <v>18</v>
      </c>
      <c r="E91" t="s">
        <v>23</v>
      </c>
      <c r="F91" t="s">
        <v>26</v>
      </c>
      <c r="G91">
        <v>5</v>
      </c>
      <c r="H91" s="4">
        <v>850</v>
      </c>
      <c r="I91" s="4">
        <v>4250</v>
      </c>
      <c r="J91" t="str">
        <f>IF(Table1[[#This Row],[Revenue (£)]]&lt;500, "small", IF(Table1[[#This Row],[Revenue (£)]]&lt;2000, "medium", "Large"))</f>
        <v>Large</v>
      </c>
    </row>
    <row r="92" spans="1:10" x14ac:dyDescent="0.3">
      <c r="A92">
        <v>10091</v>
      </c>
      <c r="B92" s="2">
        <v>44967</v>
      </c>
      <c r="C92" t="s">
        <v>11</v>
      </c>
      <c r="D92" t="s">
        <v>18</v>
      </c>
      <c r="E92" t="s">
        <v>20</v>
      </c>
      <c r="F92" t="s">
        <v>26</v>
      </c>
      <c r="G92">
        <v>7</v>
      </c>
      <c r="H92" s="4">
        <v>220</v>
      </c>
      <c r="I92" s="4">
        <v>1540</v>
      </c>
      <c r="J92" t="str">
        <f>IF(Table1[[#This Row],[Revenue (£)]]&lt;500, "small", IF(Table1[[#This Row],[Revenue (£)]]&lt;2000, "medium", "Large"))</f>
        <v>medium</v>
      </c>
    </row>
    <row r="93" spans="1:10" x14ac:dyDescent="0.3">
      <c r="A93">
        <v>10092</v>
      </c>
      <c r="B93" s="2">
        <v>44954</v>
      </c>
      <c r="C93" t="s">
        <v>9</v>
      </c>
      <c r="D93" t="s">
        <v>17</v>
      </c>
      <c r="E93" t="s">
        <v>22</v>
      </c>
      <c r="F93" t="s">
        <v>25</v>
      </c>
      <c r="G93">
        <v>5</v>
      </c>
      <c r="H93" s="4">
        <v>45</v>
      </c>
      <c r="I93" s="4">
        <v>225</v>
      </c>
      <c r="J93" t="str">
        <f>IF(Table1[[#This Row],[Revenue (£)]]&lt;500, "small", IF(Table1[[#This Row],[Revenue (£)]]&lt;2000, "medium", "Large"))</f>
        <v>small</v>
      </c>
    </row>
    <row r="94" spans="1:10" x14ac:dyDescent="0.3">
      <c r="A94">
        <v>10093</v>
      </c>
      <c r="B94" s="2">
        <v>45061</v>
      </c>
      <c r="C94" t="s">
        <v>9</v>
      </c>
      <c r="D94" t="s">
        <v>14</v>
      </c>
      <c r="E94" t="s">
        <v>19</v>
      </c>
      <c r="F94" t="s">
        <v>25</v>
      </c>
      <c r="G94">
        <v>5</v>
      </c>
      <c r="H94" s="4">
        <v>75</v>
      </c>
      <c r="I94" s="4">
        <v>375</v>
      </c>
      <c r="J94" t="str">
        <f>IF(Table1[[#This Row],[Revenue (£)]]&lt;500, "small", IF(Table1[[#This Row],[Revenue (£)]]&lt;2000, "medium", "Large"))</f>
        <v>small</v>
      </c>
    </row>
    <row r="95" spans="1:10" x14ac:dyDescent="0.3">
      <c r="A95">
        <v>10094</v>
      </c>
      <c r="B95" s="2">
        <v>45127</v>
      </c>
      <c r="C95" t="s">
        <v>11</v>
      </c>
      <c r="D95" t="s">
        <v>18</v>
      </c>
      <c r="E95" t="s">
        <v>20</v>
      </c>
      <c r="F95" t="s">
        <v>26</v>
      </c>
      <c r="G95">
        <v>5</v>
      </c>
      <c r="H95" s="4">
        <v>220</v>
      </c>
      <c r="I95" s="4">
        <v>1100</v>
      </c>
      <c r="J95" t="str">
        <f>IF(Table1[[#This Row],[Revenue (£)]]&lt;500, "small", IF(Table1[[#This Row],[Revenue (£)]]&lt;2000, "medium", "Large"))</f>
        <v>medium</v>
      </c>
    </row>
    <row r="96" spans="1:10" x14ac:dyDescent="0.3">
      <c r="A96">
        <v>10095</v>
      </c>
      <c r="B96" s="2">
        <v>44959</v>
      </c>
      <c r="C96" t="s">
        <v>12</v>
      </c>
      <c r="D96" t="s">
        <v>17</v>
      </c>
      <c r="E96" t="s">
        <v>20</v>
      </c>
      <c r="F96" t="s">
        <v>26</v>
      </c>
      <c r="G96">
        <v>10</v>
      </c>
      <c r="H96" s="4">
        <v>220</v>
      </c>
      <c r="I96" s="4">
        <v>2200</v>
      </c>
      <c r="J96" t="str">
        <f>IF(Table1[[#This Row],[Revenue (£)]]&lt;500, "small", IF(Table1[[#This Row],[Revenue (£)]]&lt;2000, "medium", "Large"))</f>
        <v>Large</v>
      </c>
    </row>
    <row r="97" spans="1:10" x14ac:dyDescent="0.3">
      <c r="A97">
        <v>10096</v>
      </c>
      <c r="B97" s="2">
        <v>44974</v>
      </c>
      <c r="C97" t="s">
        <v>9</v>
      </c>
      <c r="D97" t="s">
        <v>18</v>
      </c>
      <c r="E97" t="s">
        <v>22</v>
      </c>
      <c r="F97" t="s">
        <v>25</v>
      </c>
      <c r="G97">
        <v>10</v>
      </c>
      <c r="H97" s="4">
        <v>45</v>
      </c>
      <c r="I97" s="4">
        <v>450</v>
      </c>
      <c r="J97" t="str">
        <f>IF(Table1[[#This Row],[Revenue (£)]]&lt;500, "small", IF(Table1[[#This Row],[Revenue (£)]]&lt;2000, "medium", "Large"))</f>
        <v>small</v>
      </c>
    </row>
    <row r="98" spans="1:10" x14ac:dyDescent="0.3">
      <c r="A98">
        <v>10097</v>
      </c>
      <c r="B98" s="2">
        <v>45429</v>
      </c>
      <c r="C98" t="s">
        <v>13</v>
      </c>
      <c r="D98" t="s">
        <v>15</v>
      </c>
      <c r="E98" t="s">
        <v>20</v>
      </c>
      <c r="F98" t="s">
        <v>26</v>
      </c>
      <c r="G98">
        <v>3</v>
      </c>
      <c r="H98" s="4">
        <v>220</v>
      </c>
      <c r="I98" s="4">
        <v>660</v>
      </c>
      <c r="J98" t="str">
        <f>IF(Table1[[#This Row],[Revenue (£)]]&lt;500, "small", IF(Table1[[#This Row],[Revenue (£)]]&lt;2000, "medium", "Large"))</f>
        <v>medium</v>
      </c>
    </row>
    <row r="99" spans="1:10" x14ac:dyDescent="0.3">
      <c r="A99">
        <v>10098</v>
      </c>
      <c r="B99" s="2">
        <v>45333</v>
      </c>
      <c r="C99" t="s">
        <v>9</v>
      </c>
      <c r="D99" t="s">
        <v>14</v>
      </c>
      <c r="E99" t="s">
        <v>22</v>
      </c>
      <c r="F99" t="s">
        <v>25</v>
      </c>
      <c r="G99">
        <v>1</v>
      </c>
      <c r="H99" s="4">
        <v>45</v>
      </c>
      <c r="I99" s="4">
        <v>45</v>
      </c>
      <c r="J99" t="str">
        <f>IF(Table1[[#This Row],[Revenue (£)]]&lt;500, "small", IF(Table1[[#This Row],[Revenue (£)]]&lt;2000, "medium", "Large"))</f>
        <v>small</v>
      </c>
    </row>
    <row r="100" spans="1:10" x14ac:dyDescent="0.3">
      <c r="A100">
        <v>10099</v>
      </c>
      <c r="B100" s="2">
        <v>45025</v>
      </c>
      <c r="C100" t="s">
        <v>12</v>
      </c>
      <c r="D100" t="s">
        <v>16</v>
      </c>
      <c r="E100" t="s">
        <v>23</v>
      </c>
      <c r="F100" t="s">
        <v>26</v>
      </c>
      <c r="G100">
        <v>5</v>
      </c>
      <c r="H100" s="4">
        <v>850</v>
      </c>
      <c r="I100" s="4">
        <v>4250</v>
      </c>
      <c r="J100" t="str">
        <f>IF(Table1[[#This Row],[Revenue (£)]]&lt;500, "small", IF(Table1[[#This Row],[Revenue (£)]]&lt;2000, "medium", "Large"))</f>
        <v>Large</v>
      </c>
    </row>
    <row r="101" spans="1:10" x14ac:dyDescent="0.3">
      <c r="A101">
        <v>10100</v>
      </c>
      <c r="B101" s="2">
        <v>45473</v>
      </c>
      <c r="C101" t="s">
        <v>12</v>
      </c>
      <c r="D101" t="s">
        <v>18</v>
      </c>
      <c r="E101" t="s">
        <v>22</v>
      </c>
      <c r="F101" t="s">
        <v>25</v>
      </c>
      <c r="G101">
        <v>14</v>
      </c>
      <c r="H101" s="4">
        <v>45</v>
      </c>
      <c r="I101" s="4">
        <v>630</v>
      </c>
      <c r="J101" t="str">
        <f>IF(Table1[[#This Row],[Revenue (£)]]&lt;500, "small", IF(Table1[[#This Row],[Revenue (£)]]&lt;2000, "medium", "Large"))</f>
        <v>medium</v>
      </c>
    </row>
    <row r="102" spans="1:10" x14ac:dyDescent="0.3">
      <c r="A102">
        <v>10101</v>
      </c>
      <c r="B102" s="2">
        <v>45388</v>
      </c>
      <c r="C102" t="s">
        <v>13</v>
      </c>
      <c r="D102" t="s">
        <v>15</v>
      </c>
      <c r="E102" t="s">
        <v>22</v>
      </c>
      <c r="F102" t="s">
        <v>25</v>
      </c>
      <c r="G102">
        <v>9</v>
      </c>
      <c r="H102" s="4">
        <v>45</v>
      </c>
      <c r="I102" s="4">
        <v>405</v>
      </c>
      <c r="J102" t="str">
        <f>IF(Table1[[#This Row],[Revenue (£)]]&lt;500, "small", IF(Table1[[#This Row],[Revenue (£)]]&lt;2000, "medium", "Large"))</f>
        <v>small</v>
      </c>
    </row>
    <row r="103" spans="1:10" x14ac:dyDescent="0.3">
      <c r="A103">
        <v>10102</v>
      </c>
      <c r="B103" s="2">
        <v>44931</v>
      </c>
      <c r="C103" t="s">
        <v>9</v>
      </c>
      <c r="D103" t="s">
        <v>16</v>
      </c>
      <c r="E103" t="s">
        <v>24</v>
      </c>
      <c r="F103" t="s">
        <v>25</v>
      </c>
      <c r="G103">
        <v>14</v>
      </c>
      <c r="H103" s="4">
        <v>30</v>
      </c>
      <c r="I103" s="4">
        <v>420</v>
      </c>
      <c r="J103" t="str">
        <f>IF(Table1[[#This Row],[Revenue (£)]]&lt;500, "small", IF(Table1[[#This Row],[Revenue (£)]]&lt;2000, "medium", "Large"))</f>
        <v>small</v>
      </c>
    </row>
    <row r="104" spans="1:10" x14ac:dyDescent="0.3">
      <c r="A104">
        <v>10103</v>
      </c>
      <c r="B104" s="2">
        <v>45144</v>
      </c>
      <c r="C104" t="s">
        <v>12</v>
      </c>
      <c r="D104" t="s">
        <v>16</v>
      </c>
      <c r="E104" t="s">
        <v>22</v>
      </c>
      <c r="F104" t="s">
        <v>25</v>
      </c>
      <c r="G104">
        <v>1</v>
      </c>
      <c r="H104" s="4">
        <v>45</v>
      </c>
      <c r="I104" s="4">
        <v>45</v>
      </c>
      <c r="J104" t="str">
        <f>IF(Table1[[#This Row],[Revenue (£)]]&lt;500, "small", IF(Table1[[#This Row],[Revenue (£)]]&lt;2000, "medium", "Large"))</f>
        <v>small</v>
      </c>
    </row>
    <row r="105" spans="1:10" x14ac:dyDescent="0.3">
      <c r="A105">
        <v>10104</v>
      </c>
      <c r="B105" s="2">
        <v>45429</v>
      </c>
      <c r="C105" t="s">
        <v>11</v>
      </c>
      <c r="D105" t="s">
        <v>18</v>
      </c>
      <c r="E105" t="s">
        <v>22</v>
      </c>
      <c r="F105" t="s">
        <v>25</v>
      </c>
      <c r="G105">
        <v>3</v>
      </c>
      <c r="H105" s="4">
        <v>45</v>
      </c>
      <c r="I105" s="4">
        <v>135</v>
      </c>
      <c r="J105" t="str">
        <f>IF(Table1[[#This Row],[Revenue (£)]]&lt;500, "small", IF(Table1[[#This Row],[Revenue (£)]]&lt;2000, "medium", "Large"))</f>
        <v>small</v>
      </c>
    </row>
    <row r="106" spans="1:10" x14ac:dyDescent="0.3">
      <c r="A106">
        <v>10105</v>
      </c>
      <c r="B106" s="2">
        <v>45324</v>
      </c>
      <c r="C106" t="s">
        <v>10</v>
      </c>
      <c r="D106" t="s">
        <v>17</v>
      </c>
      <c r="E106" t="s">
        <v>19</v>
      </c>
      <c r="F106" t="s">
        <v>25</v>
      </c>
      <c r="G106">
        <v>13</v>
      </c>
      <c r="H106" s="4">
        <v>75</v>
      </c>
      <c r="I106" s="4">
        <v>975</v>
      </c>
      <c r="J106" t="str">
        <f>IF(Table1[[#This Row],[Revenue (£)]]&lt;500, "small", IF(Table1[[#This Row],[Revenue (£)]]&lt;2000, "medium", "Large"))</f>
        <v>medium</v>
      </c>
    </row>
    <row r="107" spans="1:10" x14ac:dyDescent="0.3">
      <c r="A107">
        <v>10106</v>
      </c>
      <c r="B107" s="2">
        <v>45319</v>
      </c>
      <c r="C107" t="s">
        <v>10</v>
      </c>
      <c r="D107" t="s">
        <v>18</v>
      </c>
      <c r="E107" t="s">
        <v>23</v>
      </c>
      <c r="F107" t="s">
        <v>26</v>
      </c>
      <c r="G107">
        <v>13</v>
      </c>
      <c r="H107" s="4">
        <v>850</v>
      </c>
      <c r="I107" s="4">
        <v>11050</v>
      </c>
      <c r="J107" t="str">
        <f>IF(Table1[[#This Row],[Revenue (£)]]&lt;500, "small", IF(Table1[[#This Row],[Revenue (£)]]&lt;2000, "medium", "Large"))</f>
        <v>Large</v>
      </c>
    </row>
    <row r="108" spans="1:10" x14ac:dyDescent="0.3">
      <c r="A108">
        <v>10107</v>
      </c>
      <c r="B108" s="2">
        <v>45133</v>
      </c>
      <c r="C108" t="s">
        <v>10</v>
      </c>
      <c r="D108" t="s">
        <v>15</v>
      </c>
      <c r="E108" t="s">
        <v>24</v>
      </c>
      <c r="F108" t="s">
        <v>25</v>
      </c>
      <c r="G108">
        <v>4</v>
      </c>
      <c r="H108" s="4">
        <v>30</v>
      </c>
      <c r="I108" s="4">
        <v>120</v>
      </c>
      <c r="J108" t="str">
        <f>IF(Table1[[#This Row],[Revenue (£)]]&lt;500, "small", IF(Table1[[#This Row],[Revenue (£)]]&lt;2000, "medium", "Large"))</f>
        <v>small</v>
      </c>
    </row>
    <row r="109" spans="1:10" x14ac:dyDescent="0.3">
      <c r="A109">
        <v>10108</v>
      </c>
      <c r="B109" s="2">
        <v>44941</v>
      </c>
      <c r="C109" t="s">
        <v>9</v>
      </c>
      <c r="D109" t="s">
        <v>16</v>
      </c>
      <c r="E109" t="s">
        <v>19</v>
      </c>
      <c r="F109" t="s">
        <v>25</v>
      </c>
      <c r="G109">
        <v>14</v>
      </c>
      <c r="H109" s="4">
        <v>75</v>
      </c>
      <c r="I109" s="4">
        <v>1050</v>
      </c>
      <c r="J109" t="str">
        <f>IF(Table1[[#This Row],[Revenue (£)]]&lt;500, "small", IF(Table1[[#This Row],[Revenue (£)]]&lt;2000, "medium", "Large"))</f>
        <v>medium</v>
      </c>
    </row>
    <row r="110" spans="1:10" x14ac:dyDescent="0.3">
      <c r="A110">
        <v>10109</v>
      </c>
      <c r="B110" s="2">
        <v>45387</v>
      </c>
      <c r="C110" t="s">
        <v>13</v>
      </c>
      <c r="D110" t="s">
        <v>18</v>
      </c>
      <c r="E110" t="s">
        <v>21</v>
      </c>
      <c r="F110" t="s">
        <v>25</v>
      </c>
      <c r="G110">
        <v>1</v>
      </c>
      <c r="H110" s="4">
        <v>180</v>
      </c>
      <c r="I110" s="4">
        <v>180</v>
      </c>
      <c r="J110" t="str">
        <f>IF(Table1[[#This Row],[Revenue (£)]]&lt;500, "small", IF(Table1[[#This Row],[Revenue (£)]]&lt;2000, "medium", "Large"))</f>
        <v>small</v>
      </c>
    </row>
    <row r="111" spans="1:10" x14ac:dyDescent="0.3">
      <c r="A111">
        <v>10110</v>
      </c>
      <c r="B111" s="2">
        <v>45167</v>
      </c>
      <c r="C111" t="s">
        <v>12</v>
      </c>
      <c r="D111" t="s">
        <v>17</v>
      </c>
      <c r="E111" t="s">
        <v>23</v>
      </c>
      <c r="F111" t="s">
        <v>26</v>
      </c>
      <c r="G111">
        <v>1</v>
      </c>
      <c r="H111" s="4">
        <v>850</v>
      </c>
      <c r="I111" s="4">
        <v>850</v>
      </c>
      <c r="J111" t="str">
        <f>IF(Table1[[#This Row],[Revenue (£)]]&lt;500, "small", IF(Table1[[#This Row],[Revenue (£)]]&lt;2000, "medium", "Large"))</f>
        <v>medium</v>
      </c>
    </row>
    <row r="112" spans="1:10" x14ac:dyDescent="0.3">
      <c r="A112">
        <v>10111</v>
      </c>
      <c r="B112" s="2">
        <v>45022</v>
      </c>
      <c r="C112" t="s">
        <v>11</v>
      </c>
      <c r="D112" t="s">
        <v>18</v>
      </c>
      <c r="E112" t="s">
        <v>23</v>
      </c>
      <c r="F112" t="s">
        <v>26</v>
      </c>
      <c r="G112">
        <v>8</v>
      </c>
      <c r="H112" s="4">
        <v>850</v>
      </c>
      <c r="I112" s="4">
        <v>6800</v>
      </c>
      <c r="J112" t="str">
        <f>IF(Table1[[#This Row],[Revenue (£)]]&lt;500, "small", IF(Table1[[#This Row],[Revenue (£)]]&lt;2000, "medium", "Large"))</f>
        <v>Large</v>
      </c>
    </row>
    <row r="113" spans="1:10" x14ac:dyDescent="0.3">
      <c r="A113">
        <v>10112</v>
      </c>
      <c r="B113" s="2">
        <v>45411</v>
      </c>
      <c r="C113" t="s">
        <v>11</v>
      </c>
      <c r="D113" t="s">
        <v>14</v>
      </c>
      <c r="E113" t="s">
        <v>21</v>
      </c>
      <c r="F113" t="s">
        <v>25</v>
      </c>
      <c r="G113">
        <v>2</v>
      </c>
      <c r="H113" s="4">
        <v>180</v>
      </c>
      <c r="I113" s="4">
        <v>360</v>
      </c>
      <c r="J113" t="str">
        <f>IF(Table1[[#This Row],[Revenue (£)]]&lt;500, "small", IF(Table1[[#This Row],[Revenue (£)]]&lt;2000, "medium", "Large"))</f>
        <v>small</v>
      </c>
    </row>
    <row r="114" spans="1:10" x14ac:dyDescent="0.3">
      <c r="A114">
        <v>10113</v>
      </c>
      <c r="B114" s="2">
        <v>45333</v>
      </c>
      <c r="C114" t="s">
        <v>9</v>
      </c>
      <c r="D114" t="s">
        <v>17</v>
      </c>
      <c r="E114" t="s">
        <v>22</v>
      </c>
      <c r="F114" t="s">
        <v>25</v>
      </c>
      <c r="G114">
        <v>12</v>
      </c>
      <c r="H114" s="4">
        <v>45</v>
      </c>
      <c r="I114" s="4">
        <v>540</v>
      </c>
      <c r="J114" t="str">
        <f>IF(Table1[[#This Row],[Revenue (£)]]&lt;500, "small", IF(Table1[[#This Row],[Revenue (£)]]&lt;2000, "medium", "Large"))</f>
        <v>medium</v>
      </c>
    </row>
    <row r="115" spans="1:10" x14ac:dyDescent="0.3">
      <c r="A115">
        <v>10114</v>
      </c>
      <c r="B115" s="2">
        <v>45157</v>
      </c>
      <c r="C115" t="s">
        <v>10</v>
      </c>
      <c r="D115" t="s">
        <v>15</v>
      </c>
      <c r="E115" t="s">
        <v>19</v>
      </c>
      <c r="F115" t="s">
        <v>25</v>
      </c>
      <c r="G115">
        <v>8</v>
      </c>
      <c r="H115" s="4">
        <v>75</v>
      </c>
      <c r="I115" s="4">
        <v>600</v>
      </c>
      <c r="J115" t="str">
        <f>IF(Table1[[#This Row],[Revenue (£)]]&lt;500, "small", IF(Table1[[#This Row],[Revenue (£)]]&lt;2000, "medium", "Large"))</f>
        <v>medium</v>
      </c>
    </row>
    <row r="116" spans="1:10" x14ac:dyDescent="0.3">
      <c r="A116">
        <v>10115</v>
      </c>
      <c r="B116" s="2">
        <v>45097</v>
      </c>
      <c r="C116" t="s">
        <v>9</v>
      </c>
      <c r="D116" t="s">
        <v>16</v>
      </c>
      <c r="E116" t="s">
        <v>20</v>
      </c>
      <c r="F116" t="s">
        <v>26</v>
      </c>
      <c r="G116">
        <v>7</v>
      </c>
      <c r="H116" s="4">
        <v>220</v>
      </c>
      <c r="I116" s="4">
        <v>1540</v>
      </c>
      <c r="J116" t="str">
        <f>IF(Table1[[#This Row],[Revenue (£)]]&lt;500, "small", IF(Table1[[#This Row],[Revenue (£)]]&lt;2000, "medium", "Large"))</f>
        <v>medium</v>
      </c>
    </row>
    <row r="117" spans="1:10" x14ac:dyDescent="0.3">
      <c r="A117">
        <v>10116</v>
      </c>
      <c r="B117" s="2">
        <v>45467</v>
      </c>
      <c r="C117" t="s">
        <v>13</v>
      </c>
      <c r="D117" t="s">
        <v>18</v>
      </c>
      <c r="E117" t="s">
        <v>24</v>
      </c>
      <c r="F117" t="s">
        <v>25</v>
      </c>
      <c r="G117">
        <v>10</v>
      </c>
      <c r="H117" s="4">
        <v>30</v>
      </c>
      <c r="I117" s="4">
        <v>300</v>
      </c>
      <c r="J117" t="str">
        <f>IF(Table1[[#This Row],[Revenue (£)]]&lt;500, "small", IF(Table1[[#This Row],[Revenue (£)]]&lt;2000, "medium", "Large"))</f>
        <v>small</v>
      </c>
    </row>
    <row r="118" spans="1:10" x14ac:dyDescent="0.3">
      <c r="A118">
        <v>10117</v>
      </c>
      <c r="B118" s="2">
        <v>44962</v>
      </c>
      <c r="C118" t="s">
        <v>13</v>
      </c>
      <c r="D118" t="s">
        <v>17</v>
      </c>
      <c r="E118" t="s">
        <v>20</v>
      </c>
      <c r="F118" t="s">
        <v>26</v>
      </c>
      <c r="G118">
        <v>10</v>
      </c>
      <c r="H118" s="4">
        <v>220</v>
      </c>
      <c r="I118" s="4">
        <v>2200</v>
      </c>
      <c r="J118" t="str">
        <f>IF(Table1[[#This Row],[Revenue (£)]]&lt;500, "small", IF(Table1[[#This Row],[Revenue (£)]]&lt;2000, "medium", "Large"))</f>
        <v>Large</v>
      </c>
    </row>
    <row r="119" spans="1:10" x14ac:dyDescent="0.3">
      <c r="A119">
        <v>10118</v>
      </c>
      <c r="B119" s="2">
        <v>45451</v>
      </c>
      <c r="C119" t="s">
        <v>12</v>
      </c>
      <c r="D119" t="s">
        <v>14</v>
      </c>
      <c r="E119" t="s">
        <v>21</v>
      </c>
      <c r="F119" t="s">
        <v>25</v>
      </c>
      <c r="G119">
        <v>2</v>
      </c>
      <c r="H119" s="4">
        <v>180</v>
      </c>
      <c r="I119" s="4">
        <v>360</v>
      </c>
      <c r="J119" t="str">
        <f>IF(Table1[[#This Row],[Revenue (£)]]&lt;500, "small", IF(Table1[[#This Row],[Revenue (£)]]&lt;2000, "medium", "Large"))</f>
        <v>small</v>
      </c>
    </row>
    <row r="120" spans="1:10" x14ac:dyDescent="0.3">
      <c r="A120">
        <v>10119</v>
      </c>
      <c r="B120" s="2">
        <v>45086</v>
      </c>
      <c r="C120" t="s">
        <v>12</v>
      </c>
      <c r="D120" t="s">
        <v>17</v>
      </c>
      <c r="E120" t="s">
        <v>23</v>
      </c>
      <c r="F120" t="s">
        <v>26</v>
      </c>
      <c r="G120">
        <v>6</v>
      </c>
      <c r="H120" s="4">
        <v>850</v>
      </c>
      <c r="I120" s="4">
        <v>5100</v>
      </c>
      <c r="J120" t="str">
        <f>IF(Table1[[#This Row],[Revenue (£)]]&lt;500, "small", IF(Table1[[#This Row],[Revenue (£)]]&lt;2000, "medium", "Large"))</f>
        <v>Large</v>
      </c>
    </row>
    <row r="121" spans="1:10" x14ac:dyDescent="0.3">
      <c r="A121">
        <v>10120</v>
      </c>
      <c r="B121" s="2">
        <v>45169</v>
      </c>
      <c r="C121" t="s">
        <v>13</v>
      </c>
      <c r="D121" t="s">
        <v>14</v>
      </c>
      <c r="E121" t="s">
        <v>23</v>
      </c>
      <c r="F121" t="s">
        <v>26</v>
      </c>
      <c r="G121">
        <v>6</v>
      </c>
      <c r="H121" s="4">
        <v>850</v>
      </c>
      <c r="I121" s="4">
        <v>5100</v>
      </c>
      <c r="J121" t="str">
        <f>IF(Table1[[#This Row],[Revenue (£)]]&lt;500, "small", IF(Table1[[#This Row],[Revenue (£)]]&lt;2000, "medium", "Large"))</f>
        <v>Large</v>
      </c>
    </row>
    <row r="122" spans="1:10" x14ac:dyDescent="0.3">
      <c r="A122">
        <v>10121</v>
      </c>
      <c r="B122" s="2">
        <v>45012</v>
      </c>
      <c r="C122" t="s">
        <v>13</v>
      </c>
      <c r="D122" t="s">
        <v>15</v>
      </c>
      <c r="E122" t="s">
        <v>24</v>
      </c>
      <c r="F122" t="s">
        <v>25</v>
      </c>
      <c r="G122">
        <v>3</v>
      </c>
      <c r="H122" s="4">
        <v>30</v>
      </c>
      <c r="I122" s="4">
        <v>90</v>
      </c>
      <c r="J122" t="str">
        <f>IF(Table1[[#This Row],[Revenue (£)]]&lt;500, "small", IF(Table1[[#This Row],[Revenue (£)]]&lt;2000, "medium", "Large"))</f>
        <v>small</v>
      </c>
    </row>
    <row r="123" spans="1:10" x14ac:dyDescent="0.3">
      <c r="A123">
        <v>10122</v>
      </c>
      <c r="B123" s="2">
        <v>44954</v>
      </c>
      <c r="C123" t="s">
        <v>13</v>
      </c>
      <c r="D123" t="s">
        <v>16</v>
      </c>
      <c r="E123" t="s">
        <v>23</v>
      </c>
      <c r="F123" t="s">
        <v>26</v>
      </c>
      <c r="G123">
        <v>11</v>
      </c>
      <c r="H123" s="4">
        <v>850</v>
      </c>
      <c r="I123" s="4">
        <v>9350</v>
      </c>
      <c r="J123" t="str">
        <f>IF(Table1[[#This Row],[Revenue (£)]]&lt;500, "small", IF(Table1[[#This Row],[Revenue (£)]]&lt;2000, "medium", "Large"))</f>
        <v>Large</v>
      </c>
    </row>
    <row r="124" spans="1:10" x14ac:dyDescent="0.3">
      <c r="A124">
        <v>10123</v>
      </c>
      <c r="B124" s="2">
        <v>45266</v>
      </c>
      <c r="C124" t="s">
        <v>9</v>
      </c>
      <c r="D124" t="s">
        <v>15</v>
      </c>
      <c r="E124" t="s">
        <v>23</v>
      </c>
      <c r="F124" t="s">
        <v>26</v>
      </c>
      <c r="G124">
        <v>2</v>
      </c>
      <c r="H124" s="4">
        <v>850</v>
      </c>
      <c r="I124" s="4">
        <v>1700</v>
      </c>
      <c r="J124" t="str">
        <f>IF(Table1[[#This Row],[Revenue (£)]]&lt;500, "small", IF(Table1[[#This Row],[Revenue (£)]]&lt;2000, "medium", "Large"))</f>
        <v>medium</v>
      </c>
    </row>
    <row r="125" spans="1:10" x14ac:dyDescent="0.3">
      <c r="A125">
        <v>10124</v>
      </c>
      <c r="B125" s="2">
        <v>45257</v>
      </c>
      <c r="C125" t="s">
        <v>13</v>
      </c>
      <c r="D125" t="s">
        <v>18</v>
      </c>
      <c r="E125" t="s">
        <v>24</v>
      </c>
      <c r="F125" t="s">
        <v>25</v>
      </c>
      <c r="G125">
        <v>12</v>
      </c>
      <c r="H125" s="4">
        <v>30</v>
      </c>
      <c r="I125" s="4">
        <v>360</v>
      </c>
      <c r="J125" t="str">
        <f>IF(Table1[[#This Row],[Revenue (£)]]&lt;500, "small", IF(Table1[[#This Row],[Revenue (£)]]&lt;2000, "medium", "Large"))</f>
        <v>small</v>
      </c>
    </row>
    <row r="126" spans="1:10" x14ac:dyDescent="0.3">
      <c r="A126">
        <v>10125</v>
      </c>
      <c r="B126" s="2">
        <v>45432</v>
      </c>
      <c r="C126" t="s">
        <v>11</v>
      </c>
      <c r="D126" t="s">
        <v>17</v>
      </c>
      <c r="E126" t="s">
        <v>19</v>
      </c>
      <c r="F126" t="s">
        <v>25</v>
      </c>
      <c r="G126">
        <v>1</v>
      </c>
      <c r="H126" s="4">
        <v>75</v>
      </c>
      <c r="I126" s="4">
        <v>75</v>
      </c>
      <c r="J126" t="str">
        <f>IF(Table1[[#This Row],[Revenue (£)]]&lt;500, "small", IF(Table1[[#This Row],[Revenue (£)]]&lt;2000, "medium", "Large"))</f>
        <v>small</v>
      </c>
    </row>
    <row r="127" spans="1:10" x14ac:dyDescent="0.3">
      <c r="A127">
        <v>10126</v>
      </c>
      <c r="B127" s="2">
        <v>45274</v>
      </c>
      <c r="C127" t="s">
        <v>10</v>
      </c>
      <c r="D127" t="s">
        <v>14</v>
      </c>
      <c r="E127" t="s">
        <v>19</v>
      </c>
      <c r="F127" t="s">
        <v>25</v>
      </c>
      <c r="G127">
        <v>6</v>
      </c>
      <c r="H127" s="4">
        <v>75</v>
      </c>
      <c r="I127" s="4">
        <v>450</v>
      </c>
      <c r="J127" t="str">
        <f>IF(Table1[[#This Row],[Revenue (£)]]&lt;500, "small", IF(Table1[[#This Row],[Revenue (£)]]&lt;2000, "medium", "Large"))</f>
        <v>small</v>
      </c>
    </row>
    <row r="128" spans="1:10" x14ac:dyDescent="0.3">
      <c r="A128">
        <v>10127</v>
      </c>
      <c r="B128" s="2">
        <v>45399</v>
      </c>
      <c r="C128" t="s">
        <v>13</v>
      </c>
      <c r="D128" t="s">
        <v>14</v>
      </c>
      <c r="E128" t="s">
        <v>24</v>
      </c>
      <c r="F128" t="s">
        <v>25</v>
      </c>
      <c r="G128">
        <v>12</v>
      </c>
      <c r="H128" s="4">
        <v>30</v>
      </c>
      <c r="I128" s="4">
        <v>360</v>
      </c>
      <c r="J128" t="str">
        <f>IF(Table1[[#This Row],[Revenue (£)]]&lt;500, "small", IF(Table1[[#This Row],[Revenue (£)]]&lt;2000, "medium", "Large"))</f>
        <v>small</v>
      </c>
    </row>
    <row r="129" spans="1:10" x14ac:dyDescent="0.3">
      <c r="A129">
        <v>10128</v>
      </c>
      <c r="B129" s="2">
        <v>45157</v>
      </c>
      <c r="C129" t="s">
        <v>10</v>
      </c>
      <c r="D129" t="s">
        <v>17</v>
      </c>
      <c r="E129" t="s">
        <v>21</v>
      </c>
      <c r="F129" t="s">
        <v>25</v>
      </c>
      <c r="G129">
        <v>5</v>
      </c>
      <c r="H129" s="4">
        <v>180</v>
      </c>
      <c r="I129" s="4">
        <v>900</v>
      </c>
      <c r="J129" t="str">
        <f>IF(Table1[[#This Row],[Revenue (£)]]&lt;500, "small", IF(Table1[[#This Row],[Revenue (£)]]&lt;2000, "medium", "Large"))</f>
        <v>medium</v>
      </c>
    </row>
    <row r="130" spans="1:10" x14ac:dyDescent="0.3">
      <c r="A130">
        <v>10129</v>
      </c>
      <c r="B130" s="2">
        <v>45116</v>
      </c>
      <c r="C130" t="s">
        <v>9</v>
      </c>
      <c r="D130" t="s">
        <v>17</v>
      </c>
      <c r="E130" t="s">
        <v>23</v>
      </c>
      <c r="F130" t="s">
        <v>26</v>
      </c>
      <c r="G130">
        <v>14</v>
      </c>
      <c r="H130" s="4">
        <v>850</v>
      </c>
      <c r="I130" s="4">
        <v>11900</v>
      </c>
      <c r="J130" t="str">
        <f>IF(Table1[[#This Row],[Revenue (£)]]&lt;500, "small", IF(Table1[[#This Row],[Revenue (£)]]&lt;2000, "medium", "Large"))</f>
        <v>Large</v>
      </c>
    </row>
    <row r="131" spans="1:10" x14ac:dyDescent="0.3">
      <c r="A131">
        <v>10130</v>
      </c>
      <c r="B131" s="2">
        <v>45151</v>
      </c>
      <c r="C131" t="s">
        <v>10</v>
      </c>
      <c r="D131" t="s">
        <v>18</v>
      </c>
      <c r="E131" t="s">
        <v>23</v>
      </c>
      <c r="F131" t="s">
        <v>26</v>
      </c>
      <c r="G131">
        <v>14</v>
      </c>
      <c r="H131" s="4">
        <v>850</v>
      </c>
      <c r="I131" s="4">
        <v>11900</v>
      </c>
      <c r="J131" t="str">
        <f>IF(Table1[[#This Row],[Revenue (£)]]&lt;500, "small", IF(Table1[[#This Row],[Revenue (£)]]&lt;2000, "medium", "Large"))</f>
        <v>Large</v>
      </c>
    </row>
    <row r="132" spans="1:10" x14ac:dyDescent="0.3">
      <c r="A132">
        <v>10131</v>
      </c>
      <c r="B132" s="2">
        <v>45311</v>
      </c>
      <c r="C132" t="s">
        <v>9</v>
      </c>
      <c r="D132" t="s">
        <v>15</v>
      </c>
      <c r="E132" t="s">
        <v>21</v>
      </c>
      <c r="F132" t="s">
        <v>25</v>
      </c>
      <c r="G132">
        <v>11</v>
      </c>
      <c r="H132" s="4">
        <v>180</v>
      </c>
      <c r="I132" s="4">
        <v>1980</v>
      </c>
      <c r="J132" t="str">
        <f>IF(Table1[[#This Row],[Revenue (£)]]&lt;500, "small", IF(Table1[[#This Row],[Revenue (£)]]&lt;2000, "medium", "Large"))</f>
        <v>medium</v>
      </c>
    </row>
    <row r="133" spans="1:10" x14ac:dyDescent="0.3">
      <c r="A133">
        <v>10132</v>
      </c>
      <c r="B133" s="2">
        <v>45303</v>
      </c>
      <c r="C133" t="s">
        <v>11</v>
      </c>
      <c r="D133" t="s">
        <v>14</v>
      </c>
      <c r="E133" t="s">
        <v>19</v>
      </c>
      <c r="F133" t="s">
        <v>25</v>
      </c>
      <c r="G133">
        <v>9</v>
      </c>
      <c r="H133" s="4">
        <v>75</v>
      </c>
      <c r="I133" s="4">
        <v>675</v>
      </c>
      <c r="J133" t="str">
        <f>IF(Table1[[#This Row],[Revenue (£)]]&lt;500, "small", IF(Table1[[#This Row],[Revenue (£)]]&lt;2000, "medium", "Large"))</f>
        <v>medium</v>
      </c>
    </row>
    <row r="134" spans="1:10" x14ac:dyDescent="0.3">
      <c r="A134">
        <v>10133</v>
      </c>
      <c r="B134" s="2">
        <v>45209</v>
      </c>
      <c r="C134" t="s">
        <v>9</v>
      </c>
      <c r="D134" t="s">
        <v>18</v>
      </c>
      <c r="E134" t="s">
        <v>22</v>
      </c>
      <c r="F134" t="s">
        <v>25</v>
      </c>
      <c r="G134">
        <v>1</v>
      </c>
      <c r="H134" s="4">
        <v>45</v>
      </c>
      <c r="I134" s="4">
        <v>45</v>
      </c>
      <c r="J134" t="str">
        <f>IF(Table1[[#This Row],[Revenue (£)]]&lt;500, "small", IF(Table1[[#This Row],[Revenue (£)]]&lt;2000, "medium", "Large"))</f>
        <v>small</v>
      </c>
    </row>
    <row r="135" spans="1:10" x14ac:dyDescent="0.3">
      <c r="A135">
        <v>10134</v>
      </c>
      <c r="B135" s="2">
        <v>45185</v>
      </c>
      <c r="C135" t="s">
        <v>9</v>
      </c>
      <c r="D135" t="s">
        <v>15</v>
      </c>
      <c r="E135" t="s">
        <v>22</v>
      </c>
      <c r="F135" t="s">
        <v>25</v>
      </c>
      <c r="G135">
        <v>7</v>
      </c>
      <c r="H135" s="4">
        <v>45</v>
      </c>
      <c r="I135" s="4">
        <v>315</v>
      </c>
      <c r="J135" t="str">
        <f>IF(Table1[[#This Row],[Revenue (£)]]&lt;500, "small", IF(Table1[[#This Row],[Revenue (£)]]&lt;2000, "medium", "Large"))</f>
        <v>small</v>
      </c>
    </row>
    <row r="136" spans="1:10" x14ac:dyDescent="0.3">
      <c r="A136">
        <v>10135</v>
      </c>
      <c r="B136" s="2">
        <v>45285</v>
      </c>
      <c r="C136" t="s">
        <v>12</v>
      </c>
      <c r="D136" t="s">
        <v>18</v>
      </c>
      <c r="E136" t="s">
        <v>22</v>
      </c>
      <c r="F136" t="s">
        <v>25</v>
      </c>
      <c r="G136">
        <v>5</v>
      </c>
      <c r="H136" s="4">
        <v>45</v>
      </c>
      <c r="I136" s="4">
        <v>225</v>
      </c>
      <c r="J136" t="str">
        <f>IF(Table1[[#This Row],[Revenue (£)]]&lt;500, "small", IF(Table1[[#This Row],[Revenue (£)]]&lt;2000, "medium", "Large"))</f>
        <v>small</v>
      </c>
    </row>
    <row r="137" spans="1:10" x14ac:dyDescent="0.3">
      <c r="A137">
        <v>10136</v>
      </c>
      <c r="B137" s="2">
        <v>45382</v>
      </c>
      <c r="C137" t="s">
        <v>13</v>
      </c>
      <c r="D137" t="s">
        <v>14</v>
      </c>
      <c r="E137" t="s">
        <v>19</v>
      </c>
      <c r="F137" t="s">
        <v>25</v>
      </c>
      <c r="G137">
        <v>5</v>
      </c>
      <c r="H137" s="4">
        <v>75</v>
      </c>
      <c r="I137" s="4">
        <v>375</v>
      </c>
      <c r="J137" t="str">
        <f>IF(Table1[[#This Row],[Revenue (£)]]&lt;500, "small", IF(Table1[[#This Row],[Revenue (£)]]&lt;2000, "medium", "Large"))</f>
        <v>small</v>
      </c>
    </row>
    <row r="138" spans="1:10" x14ac:dyDescent="0.3">
      <c r="A138">
        <v>10137</v>
      </c>
      <c r="B138" s="2">
        <v>45337</v>
      </c>
      <c r="C138" t="s">
        <v>13</v>
      </c>
      <c r="D138" t="s">
        <v>17</v>
      </c>
      <c r="E138" t="s">
        <v>19</v>
      </c>
      <c r="F138" t="s">
        <v>25</v>
      </c>
      <c r="G138">
        <v>14</v>
      </c>
      <c r="H138" s="4">
        <v>75</v>
      </c>
      <c r="I138" s="4">
        <v>1050</v>
      </c>
      <c r="J138" t="str">
        <f>IF(Table1[[#This Row],[Revenue (£)]]&lt;500, "small", IF(Table1[[#This Row],[Revenue (£)]]&lt;2000, "medium", "Large"))</f>
        <v>medium</v>
      </c>
    </row>
    <row r="139" spans="1:10" x14ac:dyDescent="0.3">
      <c r="A139">
        <v>10138</v>
      </c>
      <c r="B139" s="2">
        <v>45244</v>
      </c>
      <c r="C139" t="s">
        <v>11</v>
      </c>
      <c r="D139" t="s">
        <v>17</v>
      </c>
      <c r="E139" t="s">
        <v>21</v>
      </c>
      <c r="F139" t="s">
        <v>25</v>
      </c>
      <c r="G139">
        <v>2</v>
      </c>
      <c r="H139" s="4">
        <v>180</v>
      </c>
      <c r="I139" s="4">
        <v>360</v>
      </c>
      <c r="J139" t="str">
        <f>IF(Table1[[#This Row],[Revenue (£)]]&lt;500, "small", IF(Table1[[#This Row],[Revenue (£)]]&lt;2000, "medium", "Large"))</f>
        <v>small</v>
      </c>
    </row>
    <row r="140" spans="1:10" x14ac:dyDescent="0.3">
      <c r="A140">
        <v>10139</v>
      </c>
      <c r="B140" s="2">
        <v>45151</v>
      </c>
      <c r="C140" t="s">
        <v>11</v>
      </c>
      <c r="D140" t="s">
        <v>15</v>
      </c>
      <c r="E140" t="s">
        <v>23</v>
      </c>
      <c r="F140" t="s">
        <v>26</v>
      </c>
      <c r="G140">
        <v>11</v>
      </c>
      <c r="H140" s="4">
        <v>850</v>
      </c>
      <c r="I140" s="4">
        <v>9350</v>
      </c>
      <c r="J140" t="str">
        <f>IF(Table1[[#This Row],[Revenue (£)]]&lt;500, "small", IF(Table1[[#This Row],[Revenue (£)]]&lt;2000, "medium", "Large"))</f>
        <v>Large</v>
      </c>
    </row>
    <row r="141" spans="1:10" x14ac:dyDescent="0.3">
      <c r="A141">
        <v>10140</v>
      </c>
      <c r="B141" s="2">
        <v>45160</v>
      </c>
      <c r="C141" t="s">
        <v>13</v>
      </c>
      <c r="D141" t="s">
        <v>16</v>
      </c>
      <c r="E141" t="s">
        <v>21</v>
      </c>
      <c r="F141" t="s">
        <v>25</v>
      </c>
      <c r="G141">
        <v>3</v>
      </c>
      <c r="H141" s="4">
        <v>180</v>
      </c>
      <c r="I141" s="4">
        <v>540</v>
      </c>
      <c r="J141" t="str">
        <f>IF(Table1[[#This Row],[Revenue (£)]]&lt;500, "small", IF(Table1[[#This Row],[Revenue (£)]]&lt;2000, "medium", "Large"))</f>
        <v>medium</v>
      </c>
    </row>
    <row r="142" spans="1:10" x14ac:dyDescent="0.3">
      <c r="A142">
        <v>10141</v>
      </c>
      <c r="B142" s="2">
        <v>45300</v>
      </c>
      <c r="C142" t="s">
        <v>12</v>
      </c>
      <c r="D142" t="s">
        <v>15</v>
      </c>
      <c r="E142" t="s">
        <v>21</v>
      </c>
      <c r="F142" t="s">
        <v>25</v>
      </c>
      <c r="G142">
        <v>7</v>
      </c>
      <c r="H142" s="4">
        <v>180</v>
      </c>
      <c r="I142" s="4">
        <v>1260</v>
      </c>
      <c r="J142" t="str">
        <f>IF(Table1[[#This Row],[Revenue (£)]]&lt;500, "small", IF(Table1[[#This Row],[Revenue (£)]]&lt;2000, "medium", "Large"))</f>
        <v>medium</v>
      </c>
    </row>
    <row r="143" spans="1:10" x14ac:dyDescent="0.3">
      <c r="A143">
        <v>10142</v>
      </c>
      <c r="B143" s="2">
        <v>45398</v>
      </c>
      <c r="C143" t="s">
        <v>13</v>
      </c>
      <c r="D143" t="s">
        <v>16</v>
      </c>
      <c r="E143" t="s">
        <v>19</v>
      </c>
      <c r="F143" t="s">
        <v>25</v>
      </c>
      <c r="G143">
        <v>6</v>
      </c>
      <c r="H143" s="4">
        <v>75</v>
      </c>
      <c r="I143" s="4">
        <v>450</v>
      </c>
      <c r="J143" t="str">
        <f>IF(Table1[[#This Row],[Revenue (£)]]&lt;500, "small", IF(Table1[[#This Row],[Revenue (£)]]&lt;2000, "medium", "Large"))</f>
        <v>small</v>
      </c>
    </row>
    <row r="144" spans="1:10" x14ac:dyDescent="0.3">
      <c r="A144">
        <v>10143</v>
      </c>
      <c r="B144" s="2">
        <v>45159</v>
      </c>
      <c r="C144" t="s">
        <v>12</v>
      </c>
      <c r="D144" t="s">
        <v>18</v>
      </c>
      <c r="E144" t="s">
        <v>22</v>
      </c>
      <c r="F144" t="s">
        <v>25</v>
      </c>
      <c r="G144">
        <v>12</v>
      </c>
      <c r="H144" s="4">
        <v>45</v>
      </c>
      <c r="I144" s="4">
        <v>540</v>
      </c>
      <c r="J144" t="str">
        <f>IF(Table1[[#This Row],[Revenue (£)]]&lt;500, "small", IF(Table1[[#This Row],[Revenue (£)]]&lt;2000, "medium", "Large"))</f>
        <v>medium</v>
      </c>
    </row>
    <row r="145" spans="1:10" x14ac:dyDescent="0.3">
      <c r="A145">
        <v>10144</v>
      </c>
      <c r="B145" s="2">
        <v>45039</v>
      </c>
      <c r="C145" t="s">
        <v>11</v>
      </c>
      <c r="D145" t="s">
        <v>18</v>
      </c>
      <c r="E145" t="s">
        <v>20</v>
      </c>
      <c r="F145" t="s">
        <v>26</v>
      </c>
      <c r="G145">
        <v>2</v>
      </c>
      <c r="H145" s="4">
        <v>220</v>
      </c>
      <c r="I145" s="4">
        <v>440</v>
      </c>
      <c r="J145" t="str">
        <f>IF(Table1[[#This Row],[Revenue (£)]]&lt;500, "small", IF(Table1[[#This Row],[Revenue (£)]]&lt;2000, "medium", "Large"))</f>
        <v>small</v>
      </c>
    </row>
    <row r="146" spans="1:10" x14ac:dyDescent="0.3">
      <c r="A146">
        <v>10145</v>
      </c>
      <c r="B146" s="2">
        <v>45423</v>
      </c>
      <c r="C146" t="s">
        <v>10</v>
      </c>
      <c r="D146" t="s">
        <v>14</v>
      </c>
      <c r="E146" t="s">
        <v>23</v>
      </c>
      <c r="F146" t="s">
        <v>26</v>
      </c>
      <c r="G146">
        <v>6</v>
      </c>
      <c r="H146" s="4">
        <v>850</v>
      </c>
      <c r="I146" s="4">
        <v>5100</v>
      </c>
      <c r="J146" t="str">
        <f>IF(Table1[[#This Row],[Revenue (£)]]&lt;500, "small", IF(Table1[[#This Row],[Revenue (£)]]&lt;2000, "medium", "Large"))</f>
        <v>Large</v>
      </c>
    </row>
    <row r="147" spans="1:10" x14ac:dyDescent="0.3">
      <c r="A147">
        <v>10146</v>
      </c>
      <c r="B147" s="2">
        <v>45368</v>
      </c>
      <c r="C147" t="s">
        <v>11</v>
      </c>
      <c r="D147" t="s">
        <v>16</v>
      </c>
      <c r="E147" t="s">
        <v>19</v>
      </c>
      <c r="F147" t="s">
        <v>25</v>
      </c>
      <c r="G147">
        <v>2</v>
      </c>
      <c r="H147" s="4">
        <v>75</v>
      </c>
      <c r="I147" s="4">
        <v>150</v>
      </c>
      <c r="J147" t="str">
        <f>IF(Table1[[#This Row],[Revenue (£)]]&lt;500, "small", IF(Table1[[#This Row],[Revenue (£)]]&lt;2000, "medium", "Large"))</f>
        <v>small</v>
      </c>
    </row>
    <row r="148" spans="1:10" x14ac:dyDescent="0.3">
      <c r="A148">
        <v>10147</v>
      </c>
      <c r="B148" s="2">
        <v>45194</v>
      </c>
      <c r="C148" t="s">
        <v>11</v>
      </c>
      <c r="D148" t="s">
        <v>14</v>
      </c>
      <c r="E148" t="s">
        <v>22</v>
      </c>
      <c r="F148" t="s">
        <v>25</v>
      </c>
      <c r="G148">
        <v>2</v>
      </c>
      <c r="H148" s="4">
        <v>45</v>
      </c>
      <c r="I148" s="4">
        <v>90</v>
      </c>
      <c r="J148" t="str">
        <f>IF(Table1[[#This Row],[Revenue (£)]]&lt;500, "small", IF(Table1[[#This Row],[Revenue (£)]]&lt;2000, "medium", "Large"))</f>
        <v>small</v>
      </c>
    </row>
    <row r="149" spans="1:10" x14ac:dyDescent="0.3">
      <c r="A149">
        <v>10148</v>
      </c>
      <c r="B149" s="2">
        <v>45436</v>
      </c>
      <c r="C149" t="s">
        <v>9</v>
      </c>
      <c r="D149" t="s">
        <v>17</v>
      </c>
      <c r="E149" t="s">
        <v>20</v>
      </c>
      <c r="F149" t="s">
        <v>26</v>
      </c>
      <c r="G149">
        <v>2</v>
      </c>
      <c r="H149" s="4">
        <v>220</v>
      </c>
      <c r="I149" s="4">
        <v>440</v>
      </c>
      <c r="J149" t="str">
        <f>IF(Table1[[#This Row],[Revenue (£)]]&lt;500, "small", IF(Table1[[#This Row],[Revenue (£)]]&lt;2000, "medium", "Large"))</f>
        <v>small</v>
      </c>
    </row>
    <row r="150" spans="1:10" x14ac:dyDescent="0.3">
      <c r="A150">
        <v>10149</v>
      </c>
      <c r="B150" s="2">
        <v>45312</v>
      </c>
      <c r="C150" t="s">
        <v>9</v>
      </c>
      <c r="D150" t="s">
        <v>16</v>
      </c>
      <c r="E150" t="s">
        <v>20</v>
      </c>
      <c r="F150" t="s">
        <v>26</v>
      </c>
      <c r="G150">
        <v>14</v>
      </c>
      <c r="H150" s="4">
        <v>220</v>
      </c>
      <c r="I150" s="4">
        <v>3080</v>
      </c>
      <c r="J150" t="str">
        <f>IF(Table1[[#This Row],[Revenue (£)]]&lt;500, "small", IF(Table1[[#This Row],[Revenue (£)]]&lt;2000, "medium", "Large"))</f>
        <v>Large</v>
      </c>
    </row>
    <row r="151" spans="1:10" x14ac:dyDescent="0.3">
      <c r="A151">
        <v>10150</v>
      </c>
      <c r="B151" s="2">
        <v>45313</v>
      </c>
      <c r="C151" t="s">
        <v>9</v>
      </c>
      <c r="D151" t="s">
        <v>15</v>
      </c>
      <c r="E151" t="s">
        <v>19</v>
      </c>
      <c r="F151" t="s">
        <v>25</v>
      </c>
      <c r="G151">
        <v>11</v>
      </c>
      <c r="H151" s="4">
        <v>75</v>
      </c>
      <c r="I151" s="4">
        <v>825</v>
      </c>
      <c r="J151" t="str">
        <f>IF(Table1[[#This Row],[Revenue (£)]]&lt;500, "small", IF(Table1[[#This Row],[Revenue (£)]]&lt;2000, "medium", "Large"))</f>
        <v>medium</v>
      </c>
    </row>
    <row r="152" spans="1:10" x14ac:dyDescent="0.3">
      <c r="A152">
        <v>10151</v>
      </c>
      <c r="B152" s="2">
        <v>45039</v>
      </c>
      <c r="C152" t="s">
        <v>9</v>
      </c>
      <c r="D152" t="s">
        <v>17</v>
      </c>
      <c r="E152" t="s">
        <v>24</v>
      </c>
      <c r="F152" t="s">
        <v>25</v>
      </c>
      <c r="G152">
        <v>3</v>
      </c>
      <c r="H152" s="4">
        <v>30</v>
      </c>
      <c r="I152" s="4">
        <v>90</v>
      </c>
      <c r="J152" t="str">
        <f>IF(Table1[[#This Row],[Revenue (£)]]&lt;500, "small", IF(Table1[[#This Row],[Revenue (£)]]&lt;2000, "medium", "Large"))</f>
        <v>small</v>
      </c>
    </row>
    <row r="153" spans="1:10" x14ac:dyDescent="0.3">
      <c r="A153">
        <v>10152</v>
      </c>
      <c r="B153" s="2">
        <v>45007</v>
      </c>
      <c r="C153" t="s">
        <v>12</v>
      </c>
      <c r="D153" t="s">
        <v>17</v>
      </c>
      <c r="E153" t="s">
        <v>23</v>
      </c>
      <c r="F153" t="s">
        <v>26</v>
      </c>
      <c r="G153">
        <v>2</v>
      </c>
      <c r="H153" s="4">
        <v>850</v>
      </c>
      <c r="I153" s="4">
        <v>1700</v>
      </c>
      <c r="J153" t="str">
        <f>IF(Table1[[#This Row],[Revenue (£)]]&lt;500, "small", IF(Table1[[#This Row],[Revenue (£)]]&lt;2000, "medium", "Large"))</f>
        <v>medium</v>
      </c>
    </row>
    <row r="154" spans="1:10" x14ac:dyDescent="0.3">
      <c r="A154">
        <v>10153</v>
      </c>
      <c r="B154" s="2">
        <v>45039</v>
      </c>
      <c r="C154" t="s">
        <v>13</v>
      </c>
      <c r="D154" t="s">
        <v>15</v>
      </c>
      <c r="E154" t="s">
        <v>20</v>
      </c>
      <c r="F154" t="s">
        <v>26</v>
      </c>
      <c r="G154">
        <v>4</v>
      </c>
      <c r="H154" s="4">
        <v>220</v>
      </c>
      <c r="I154" s="4">
        <v>880</v>
      </c>
      <c r="J154" t="str">
        <f>IF(Table1[[#This Row],[Revenue (£)]]&lt;500, "small", IF(Table1[[#This Row],[Revenue (£)]]&lt;2000, "medium", "Large"))</f>
        <v>medium</v>
      </c>
    </row>
    <row r="155" spans="1:10" x14ac:dyDescent="0.3">
      <c r="A155">
        <v>10154</v>
      </c>
      <c r="B155" s="2">
        <v>44928</v>
      </c>
      <c r="C155" t="s">
        <v>10</v>
      </c>
      <c r="D155" t="s">
        <v>17</v>
      </c>
      <c r="E155" t="s">
        <v>19</v>
      </c>
      <c r="F155" t="s">
        <v>25</v>
      </c>
      <c r="G155">
        <v>9</v>
      </c>
      <c r="H155" s="4">
        <v>75</v>
      </c>
      <c r="I155" s="4">
        <v>675</v>
      </c>
      <c r="J155" t="str">
        <f>IF(Table1[[#This Row],[Revenue (£)]]&lt;500, "small", IF(Table1[[#This Row],[Revenue (£)]]&lt;2000, "medium", "Large"))</f>
        <v>medium</v>
      </c>
    </row>
    <row r="156" spans="1:10" x14ac:dyDescent="0.3">
      <c r="A156">
        <v>10155</v>
      </c>
      <c r="B156" s="2">
        <v>45146</v>
      </c>
      <c r="C156" t="s">
        <v>11</v>
      </c>
      <c r="D156" t="s">
        <v>16</v>
      </c>
      <c r="E156" t="s">
        <v>19</v>
      </c>
      <c r="F156" t="s">
        <v>25</v>
      </c>
      <c r="G156">
        <v>6</v>
      </c>
      <c r="H156" s="4">
        <v>75</v>
      </c>
      <c r="I156" s="4">
        <v>450</v>
      </c>
      <c r="J156" t="str">
        <f>IF(Table1[[#This Row],[Revenue (£)]]&lt;500, "small", IF(Table1[[#This Row],[Revenue (£)]]&lt;2000, "medium", "Large"))</f>
        <v>small</v>
      </c>
    </row>
    <row r="157" spans="1:10" x14ac:dyDescent="0.3">
      <c r="A157">
        <v>10156</v>
      </c>
      <c r="B157" s="2">
        <v>45151</v>
      </c>
      <c r="C157" t="s">
        <v>12</v>
      </c>
      <c r="D157" t="s">
        <v>14</v>
      </c>
      <c r="E157" t="s">
        <v>22</v>
      </c>
      <c r="F157" t="s">
        <v>25</v>
      </c>
      <c r="G157">
        <v>1</v>
      </c>
      <c r="H157" s="4">
        <v>45</v>
      </c>
      <c r="I157" s="4">
        <v>45</v>
      </c>
      <c r="J157" t="str">
        <f>IF(Table1[[#This Row],[Revenue (£)]]&lt;500, "small", IF(Table1[[#This Row],[Revenue (£)]]&lt;2000, "medium", "Large"))</f>
        <v>small</v>
      </c>
    </row>
    <row r="158" spans="1:10" x14ac:dyDescent="0.3">
      <c r="A158">
        <v>10157</v>
      </c>
      <c r="B158" s="2">
        <v>45311</v>
      </c>
      <c r="C158" t="s">
        <v>10</v>
      </c>
      <c r="D158" t="s">
        <v>17</v>
      </c>
      <c r="E158" t="s">
        <v>24</v>
      </c>
      <c r="F158" t="s">
        <v>25</v>
      </c>
      <c r="G158">
        <v>8</v>
      </c>
      <c r="H158" s="4">
        <v>30</v>
      </c>
      <c r="I158" s="4">
        <v>240</v>
      </c>
      <c r="J158" t="str">
        <f>IF(Table1[[#This Row],[Revenue (£)]]&lt;500, "small", IF(Table1[[#This Row],[Revenue (£)]]&lt;2000, "medium", "Large"))</f>
        <v>small</v>
      </c>
    </row>
    <row r="159" spans="1:10" x14ac:dyDescent="0.3">
      <c r="A159">
        <v>10158</v>
      </c>
      <c r="B159" s="2">
        <v>45329</v>
      </c>
      <c r="C159" t="s">
        <v>12</v>
      </c>
      <c r="D159" t="s">
        <v>16</v>
      </c>
      <c r="E159" t="s">
        <v>23</v>
      </c>
      <c r="F159" t="s">
        <v>26</v>
      </c>
      <c r="G159">
        <v>12</v>
      </c>
      <c r="H159" s="4">
        <v>850</v>
      </c>
      <c r="I159" s="4">
        <v>10200</v>
      </c>
      <c r="J159" t="str">
        <f>IF(Table1[[#This Row],[Revenue (£)]]&lt;500, "small", IF(Table1[[#This Row],[Revenue (£)]]&lt;2000, "medium", "Large"))</f>
        <v>Large</v>
      </c>
    </row>
    <row r="160" spans="1:10" x14ac:dyDescent="0.3">
      <c r="A160">
        <v>10159</v>
      </c>
      <c r="B160" s="2">
        <v>45056</v>
      </c>
      <c r="C160" t="s">
        <v>12</v>
      </c>
      <c r="D160" t="s">
        <v>18</v>
      </c>
      <c r="E160" t="s">
        <v>21</v>
      </c>
      <c r="F160" t="s">
        <v>25</v>
      </c>
      <c r="G160">
        <v>14</v>
      </c>
      <c r="H160" s="4">
        <v>180</v>
      </c>
      <c r="I160" s="4">
        <v>2520</v>
      </c>
      <c r="J160" t="str">
        <f>IF(Table1[[#This Row],[Revenue (£)]]&lt;500, "small", IF(Table1[[#This Row],[Revenue (£)]]&lt;2000, "medium", "Large"))</f>
        <v>Large</v>
      </c>
    </row>
    <row r="161" spans="1:10" x14ac:dyDescent="0.3">
      <c r="A161">
        <v>10160</v>
      </c>
      <c r="B161" s="2">
        <v>44979</v>
      </c>
      <c r="C161" t="s">
        <v>11</v>
      </c>
      <c r="D161" t="s">
        <v>16</v>
      </c>
      <c r="E161" t="s">
        <v>22</v>
      </c>
      <c r="F161" t="s">
        <v>25</v>
      </c>
      <c r="G161">
        <v>7</v>
      </c>
      <c r="H161" s="4">
        <v>45</v>
      </c>
      <c r="I161" s="4">
        <v>315</v>
      </c>
      <c r="J161" t="str">
        <f>IF(Table1[[#This Row],[Revenue (£)]]&lt;500, "small", IF(Table1[[#This Row],[Revenue (£)]]&lt;2000, "medium", "Large"))</f>
        <v>small</v>
      </c>
    </row>
    <row r="162" spans="1:10" x14ac:dyDescent="0.3">
      <c r="A162">
        <v>10161</v>
      </c>
      <c r="B162" s="2">
        <v>45342</v>
      </c>
      <c r="C162" t="s">
        <v>13</v>
      </c>
      <c r="D162" t="s">
        <v>14</v>
      </c>
      <c r="E162" t="s">
        <v>20</v>
      </c>
      <c r="F162" t="s">
        <v>26</v>
      </c>
      <c r="G162">
        <v>10</v>
      </c>
      <c r="H162" s="4">
        <v>220</v>
      </c>
      <c r="I162" s="4">
        <v>2200</v>
      </c>
      <c r="J162" t="str">
        <f>IF(Table1[[#This Row],[Revenue (£)]]&lt;500, "small", IF(Table1[[#This Row],[Revenue (£)]]&lt;2000, "medium", "Large"))</f>
        <v>Large</v>
      </c>
    </row>
    <row r="163" spans="1:10" x14ac:dyDescent="0.3">
      <c r="A163">
        <v>10162</v>
      </c>
      <c r="B163" s="2">
        <v>45173</v>
      </c>
      <c r="C163" t="s">
        <v>9</v>
      </c>
      <c r="D163" t="s">
        <v>16</v>
      </c>
      <c r="E163" t="s">
        <v>20</v>
      </c>
      <c r="F163" t="s">
        <v>26</v>
      </c>
      <c r="G163">
        <v>3</v>
      </c>
      <c r="H163" s="4">
        <v>220</v>
      </c>
      <c r="I163" s="4">
        <v>660</v>
      </c>
      <c r="J163" t="str">
        <f>IF(Table1[[#This Row],[Revenue (£)]]&lt;500, "small", IF(Table1[[#This Row],[Revenue (£)]]&lt;2000, "medium", "Large"))</f>
        <v>medium</v>
      </c>
    </row>
    <row r="164" spans="1:10" x14ac:dyDescent="0.3">
      <c r="A164">
        <v>10163</v>
      </c>
      <c r="B164" s="2">
        <v>45365</v>
      </c>
      <c r="C164" t="s">
        <v>13</v>
      </c>
      <c r="D164" t="s">
        <v>15</v>
      </c>
      <c r="E164" t="s">
        <v>22</v>
      </c>
      <c r="F164" t="s">
        <v>25</v>
      </c>
      <c r="G164">
        <v>1</v>
      </c>
      <c r="H164" s="4">
        <v>45</v>
      </c>
      <c r="I164" s="4">
        <v>45</v>
      </c>
      <c r="J164" t="str">
        <f>IF(Table1[[#This Row],[Revenue (£)]]&lt;500, "small", IF(Table1[[#This Row],[Revenue (£)]]&lt;2000, "medium", "Large"))</f>
        <v>small</v>
      </c>
    </row>
    <row r="165" spans="1:10" x14ac:dyDescent="0.3">
      <c r="A165">
        <v>10164</v>
      </c>
      <c r="B165" s="2">
        <v>45129</v>
      </c>
      <c r="C165" t="s">
        <v>11</v>
      </c>
      <c r="D165" t="s">
        <v>14</v>
      </c>
      <c r="E165" t="s">
        <v>19</v>
      </c>
      <c r="F165" t="s">
        <v>25</v>
      </c>
      <c r="G165">
        <v>5</v>
      </c>
      <c r="H165" s="4">
        <v>75</v>
      </c>
      <c r="I165" s="4">
        <v>375</v>
      </c>
      <c r="J165" t="str">
        <f>IF(Table1[[#This Row],[Revenue (£)]]&lt;500, "small", IF(Table1[[#This Row],[Revenue (£)]]&lt;2000, "medium", "Large"))</f>
        <v>small</v>
      </c>
    </row>
    <row r="166" spans="1:10" x14ac:dyDescent="0.3">
      <c r="A166">
        <v>10165</v>
      </c>
      <c r="B166" s="2">
        <v>45110</v>
      </c>
      <c r="C166" t="s">
        <v>11</v>
      </c>
      <c r="D166" t="s">
        <v>18</v>
      </c>
      <c r="E166" t="s">
        <v>20</v>
      </c>
      <c r="F166" t="s">
        <v>26</v>
      </c>
      <c r="G166">
        <v>13</v>
      </c>
      <c r="H166" s="4">
        <v>220</v>
      </c>
      <c r="I166" s="4">
        <v>2860</v>
      </c>
      <c r="J166" t="str">
        <f>IF(Table1[[#This Row],[Revenue (£)]]&lt;500, "small", IF(Table1[[#This Row],[Revenue (£)]]&lt;2000, "medium", "Large"))</f>
        <v>Large</v>
      </c>
    </row>
    <row r="167" spans="1:10" x14ac:dyDescent="0.3">
      <c r="A167">
        <v>10166</v>
      </c>
      <c r="B167" s="2">
        <v>45049</v>
      </c>
      <c r="C167" t="s">
        <v>11</v>
      </c>
      <c r="D167" t="s">
        <v>15</v>
      </c>
      <c r="E167" t="s">
        <v>24</v>
      </c>
      <c r="F167" t="s">
        <v>25</v>
      </c>
      <c r="G167">
        <v>4</v>
      </c>
      <c r="H167" s="4">
        <v>30</v>
      </c>
      <c r="I167" s="4">
        <v>120</v>
      </c>
      <c r="J167" t="str">
        <f>IF(Table1[[#This Row],[Revenue (£)]]&lt;500, "small", IF(Table1[[#This Row],[Revenue (£)]]&lt;2000, "medium", "Large"))</f>
        <v>small</v>
      </c>
    </row>
    <row r="168" spans="1:10" x14ac:dyDescent="0.3">
      <c r="A168">
        <v>10167</v>
      </c>
      <c r="B168" s="2">
        <v>45327</v>
      </c>
      <c r="C168" t="s">
        <v>10</v>
      </c>
      <c r="D168" t="s">
        <v>16</v>
      </c>
      <c r="E168" t="s">
        <v>23</v>
      </c>
      <c r="F168" t="s">
        <v>26</v>
      </c>
      <c r="G168">
        <v>10</v>
      </c>
      <c r="H168" s="4">
        <v>850</v>
      </c>
      <c r="I168" s="4">
        <v>8500</v>
      </c>
      <c r="J168" t="str">
        <f>IF(Table1[[#This Row],[Revenue (£)]]&lt;500, "small", IF(Table1[[#This Row],[Revenue (£)]]&lt;2000, "medium", "Large"))</f>
        <v>Large</v>
      </c>
    </row>
    <row r="169" spans="1:10" x14ac:dyDescent="0.3">
      <c r="A169">
        <v>10168</v>
      </c>
      <c r="B169" s="2">
        <v>45220</v>
      </c>
      <c r="C169" t="s">
        <v>13</v>
      </c>
      <c r="D169" t="s">
        <v>14</v>
      </c>
      <c r="E169" t="s">
        <v>24</v>
      </c>
      <c r="F169" t="s">
        <v>25</v>
      </c>
      <c r="G169">
        <v>8</v>
      </c>
      <c r="H169" s="4">
        <v>30</v>
      </c>
      <c r="I169" s="4">
        <v>240</v>
      </c>
      <c r="J169" t="str">
        <f>IF(Table1[[#This Row],[Revenue (£)]]&lt;500, "small", IF(Table1[[#This Row],[Revenue (£)]]&lt;2000, "medium", "Large"))</f>
        <v>small</v>
      </c>
    </row>
    <row r="170" spans="1:10" x14ac:dyDescent="0.3">
      <c r="A170">
        <v>10169</v>
      </c>
      <c r="B170" s="2">
        <v>45206</v>
      </c>
      <c r="C170" t="s">
        <v>13</v>
      </c>
      <c r="D170" t="s">
        <v>18</v>
      </c>
      <c r="E170" t="s">
        <v>20</v>
      </c>
      <c r="F170" t="s">
        <v>26</v>
      </c>
      <c r="G170">
        <v>1</v>
      </c>
      <c r="H170" s="4">
        <v>220</v>
      </c>
      <c r="I170" s="4">
        <v>220</v>
      </c>
      <c r="J170" t="str">
        <f>IF(Table1[[#This Row],[Revenue (£)]]&lt;500, "small", IF(Table1[[#This Row],[Revenue (£)]]&lt;2000, "medium", "Large"))</f>
        <v>small</v>
      </c>
    </row>
    <row r="171" spans="1:10" x14ac:dyDescent="0.3">
      <c r="A171">
        <v>10170</v>
      </c>
      <c r="B171" s="2">
        <v>45124</v>
      </c>
      <c r="C171" t="s">
        <v>12</v>
      </c>
      <c r="D171" t="s">
        <v>15</v>
      </c>
      <c r="E171" t="s">
        <v>21</v>
      </c>
      <c r="F171" t="s">
        <v>25</v>
      </c>
      <c r="G171">
        <v>10</v>
      </c>
      <c r="H171" s="4">
        <v>180</v>
      </c>
      <c r="I171" s="4">
        <v>1800</v>
      </c>
      <c r="J171" t="str">
        <f>IF(Table1[[#This Row],[Revenue (£)]]&lt;500, "small", IF(Table1[[#This Row],[Revenue (£)]]&lt;2000, "medium", "Large"))</f>
        <v>medium</v>
      </c>
    </row>
    <row r="172" spans="1:10" x14ac:dyDescent="0.3">
      <c r="A172">
        <v>10171</v>
      </c>
      <c r="B172" s="2">
        <v>45437</v>
      </c>
      <c r="C172" t="s">
        <v>12</v>
      </c>
      <c r="D172" t="s">
        <v>18</v>
      </c>
      <c r="E172" t="s">
        <v>23</v>
      </c>
      <c r="F172" t="s">
        <v>26</v>
      </c>
      <c r="G172">
        <v>1</v>
      </c>
      <c r="H172" s="4">
        <v>850</v>
      </c>
      <c r="I172" s="4">
        <v>850</v>
      </c>
      <c r="J172" t="str">
        <f>IF(Table1[[#This Row],[Revenue (£)]]&lt;500, "small", IF(Table1[[#This Row],[Revenue (£)]]&lt;2000, "medium", "Large"))</f>
        <v>medium</v>
      </c>
    </row>
    <row r="173" spans="1:10" x14ac:dyDescent="0.3">
      <c r="A173">
        <v>10172</v>
      </c>
      <c r="B173" s="2">
        <v>45070</v>
      </c>
      <c r="C173" t="s">
        <v>12</v>
      </c>
      <c r="D173" t="s">
        <v>16</v>
      </c>
      <c r="E173" t="s">
        <v>23</v>
      </c>
      <c r="F173" t="s">
        <v>26</v>
      </c>
      <c r="G173">
        <v>12</v>
      </c>
      <c r="H173" s="4">
        <v>850</v>
      </c>
      <c r="I173" s="4">
        <v>10200</v>
      </c>
      <c r="J173" t="str">
        <f>IF(Table1[[#This Row],[Revenue (£)]]&lt;500, "small", IF(Table1[[#This Row],[Revenue (£)]]&lt;2000, "medium", "Large"))</f>
        <v>Large</v>
      </c>
    </row>
    <row r="174" spans="1:10" x14ac:dyDescent="0.3">
      <c r="A174">
        <v>10173</v>
      </c>
      <c r="B174" s="2">
        <v>45127</v>
      </c>
      <c r="C174" t="s">
        <v>11</v>
      </c>
      <c r="D174" t="s">
        <v>18</v>
      </c>
      <c r="E174" t="s">
        <v>22</v>
      </c>
      <c r="F174" t="s">
        <v>25</v>
      </c>
      <c r="G174">
        <v>4</v>
      </c>
      <c r="H174" s="4">
        <v>45</v>
      </c>
      <c r="I174" s="4">
        <v>180</v>
      </c>
      <c r="J174" t="str">
        <f>IF(Table1[[#This Row],[Revenue (£)]]&lt;500, "small", IF(Table1[[#This Row],[Revenue (£)]]&lt;2000, "medium", "Large"))</f>
        <v>small</v>
      </c>
    </row>
    <row r="175" spans="1:10" x14ac:dyDescent="0.3">
      <c r="A175">
        <v>10174</v>
      </c>
      <c r="B175" s="2">
        <v>45050</v>
      </c>
      <c r="C175" t="s">
        <v>13</v>
      </c>
      <c r="D175" t="s">
        <v>17</v>
      </c>
      <c r="E175" t="s">
        <v>22</v>
      </c>
      <c r="F175" t="s">
        <v>25</v>
      </c>
      <c r="G175">
        <v>8</v>
      </c>
      <c r="H175" s="4">
        <v>45</v>
      </c>
      <c r="I175" s="4">
        <v>360</v>
      </c>
      <c r="J175" t="str">
        <f>IF(Table1[[#This Row],[Revenue (£)]]&lt;500, "small", IF(Table1[[#This Row],[Revenue (£)]]&lt;2000, "medium", "Large"))</f>
        <v>small</v>
      </c>
    </row>
    <row r="176" spans="1:10" x14ac:dyDescent="0.3">
      <c r="A176">
        <v>10175</v>
      </c>
      <c r="B176" s="2">
        <v>45113</v>
      </c>
      <c r="C176" t="s">
        <v>11</v>
      </c>
      <c r="D176" t="s">
        <v>15</v>
      </c>
      <c r="E176" t="s">
        <v>21</v>
      </c>
      <c r="F176" t="s">
        <v>25</v>
      </c>
      <c r="G176">
        <v>5</v>
      </c>
      <c r="H176" s="4">
        <v>180</v>
      </c>
      <c r="I176" s="4">
        <v>900</v>
      </c>
      <c r="J176" t="str">
        <f>IF(Table1[[#This Row],[Revenue (£)]]&lt;500, "small", IF(Table1[[#This Row],[Revenue (£)]]&lt;2000, "medium", "Large"))</f>
        <v>medium</v>
      </c>
    </row>
    <row r="177" spans="1:10" x14ac:dyDescent="0.3">
      <c r="A177">
        <v>10176</v>
      </c>
      <c r="B177" s="2">
        <v>45252</v>
      </c>
      <c r="C177" t="s">
        <v>10</v>
      </c>
      <c r="D177" t="s">
        <v>18</v>
      </c>
      <c r="E177" t="s">
        <v>19</v>
      </c>
      <c r="F177" t="s">
        <v>25</v>
      </c>
      <c r="G177">
        <v>2</v>
      </c>
      <c r="H177" s="4">
        <v>75</v>
      </c>
      <c r="I177" s="4">
        <v>150</v>
      </c>
      <c r="J177" t="str">
        <f>IF(Table1[[#This Row],[Revenue (£)]]&lt;500, "small", IF(Table1[[#This Row],[Revenue (£)]]&lt;2000, "medium", "Large"))</f>
        <v>small</v>
      </c>
    </row>
    <row r="178" spans="1:10" x14ac:dyDescent="0.3">
      <c r="A178">
        <v>10177</v>
      </c>
      <c r="B178" s="2">
        <v>45390</v>
      </c>
      <c r="C178" t="s">
        <v>12</v>
      </c>
      <c r="D178" t="s">
        <v>16</v>
      </c>
      <c r="E178" t="s">
        <v>23</v>
      </c>
      <c r="F178" t="s">
        <v>26</v>
      </c>
      <c r="G178">
        <v>6</v>
      </c>
      <c r="H178" s="4">
        <v>850</v>
      </c>
      <c r="I178" s="4">
        <v>5100</v>
      </c>
      <c r="J178" t="str">
        <f>IF(Table1[[#This Row],[Revenue (£)]]&lt;500, "small", IF(Table1[[#This Row],[Revenue (£)]]&lt;2000, "medium", "Large"))</f>
        <v>Large</v>
      </c>
    </row>
    <row r="179" spans="1:10" x14ac:dyDescent="0.3">
      <c r="A179">
        <v>10178</v>
      </c>
      <c r="B179" s="2">
        <v>45275</v>
      </c>
      <c r="C179" t="s">
        <v>11</v>
      </c>
      <c r="D179" t="s">
        <v>16</v>
      </c>
      <c r="E179" t="s">
        <v>21</v>
      </c>
      <c r="F179" t="s">
        <v>25</v>
      </c>
      <c r="G179">
        <v>5</v>
      </c>
      <c r="H179" s="4">
        <v>180</v>
      </c>
      <c r="I179" s="4">
        <v>900</v>
      </c>
      <c r="J179" t="str">
        <f>IF(Table1[[#This Row],[Revenue (£)]]&lt;500, "small", IF(Table1[[#This Row],[Revenue (£)]]&lt;2000, "medium", "Large"))</f>
        <v>medium</v>
      </c>
    </row>
    <row r="180" spans="1:10" x14ac:dyDescent="0.3">
      <c r="A180">
        <v>10179</v>
      </c>
      <c r="B180" s="2">
        <v>45329</v>
      </c>
      <c r="C180" t="s">
        <v>11</v>
      </c>
      <c r="D180" t="s">
        <v>18</v>
      </c>
      <c r="E180" t="s">
        <v>22</v>
      </c>
      <c r="F180" t="s">
        <v>25</v>
      </c>
      <c r="G180">
        <v>2</v>
      </c>
      <c r="H180" s="4">
        <v>45</v>
      </c>
      <c r="I180" s="4">
        <v>90</v>
      </c>
      <c r="J180" t="str">
        <f>IF(Table1[[#This Row],[Revenue (£)]]&lt;500, "small", IF(Table1[[#This Row],[Revenue (£)]]&lt;2000, "medium", "Large"))</f>
        <v>small</v>
      </c>
    </row>
    <row r="181" spans="1:10" x14ac:dyDescent="0.3">
      <c r="A181">
        <v>10180</v>
      </c>
      <c r="B181" s="2">
        <v>45272</v>
      </c>
      <c r="C181" t="s">
        <v>10</v>
      </c>
      <c r="D181" t="s">
        <v>16</v>
      </c>
      <c r="E181" t="s">
        <v>22</v>
      </c>
      <c r="F181" t="s">
        <v>25</v>
      </c>
      <c r="G181">
        <v>13</v>
      </c>
      <c r="H181" s="4">
        <v>45</v>
      </c>
      <c r="I181" s="4">
        <v>585</v>
      </c>
      <c r="J181" t="str">
        <f>IF(Table1[[#This Row],[Revenue (£)]]&lt;500, "small", IF(Table1[[#This Row],[Revenue (£)]]&lt;2000, "medium", "Large"))</f>
        <v>medium</v>
      </c>
    </row>
    <row r="182" spans="1:10" x14ac:dyDescent="0.3">
      <c r="A182">
        <v>10181</v>
      </c>
      <c r="B182" s="2">
        <v>45437</v>
      </c>
      <c r="C182" t="s">
        <v>9</v>
      </c>
      <c r="D182" t="s">
        <v>14</v>
      </c>
      <c r="E182" t="s">
        <v>23</v>
      </c>
      <c r="F182" t="s">
        <v>26</v>
      </c>
      <c r="G182">
        <v>14</v>
      </c>
      <c r="H182" s="4">
        <v>850</v>
      </c>
      <c r="I182" s="4">
        <v>11900</v>
      </c>
      <c r="J182" t="str">
        <f>IF(Table1[[#This Row],[Revenue (£)]]&lt;500, "small", IF(Table1[[#This Row],[Revenue (£)]]&lt;2000, "medium", "Large"))</f>
        <v>Large</v>
      </c>
    </row>
    <row r="183" spans="1:10" x14ac:dyDescent="0.3">
      <c r="A183">
        <v>10182</v>
      </c>
      <c r="B183" s="2">
        <v>45073</v>
      </c>
      <c r="C183" t="s">
        <v>13</v>
      </c>
      <c r="D183" t="s">
        <v>14</v>
      </c>
      <c r="E183" t="s">
        <v>24</v>
      </c>
      <c r="F183" t="s">
        <v>25</v>
      </c>
      <c r="G183">
        <v>11</v>
      </c>
      <c r="H183" s="4">
        <v>30</v>
      </c>
      <c r="I183" s="4">
        <v>330</v>
      </c>
      <c r="J183" t="str">
        <f>IF(Table1[[#This Row],[Revenue (£)]]&lt;500, "small", IF(Table1[[#This Row],[Revenue (£)]]&lt;2000, "medium", "Large"))</f>
        <v>small</v>
      </c>
    </row>
    <row r="184" spans="1:10" x14ac:dyDescent="0.3">
      <c r="A184">
        <v>10183</v>
      </c>
      <c r="B184" s="2">
        <v>45074</v>
      </c>
      <c r="C184" t="s">
        <v>9</v>
      </c>
      <c r="D184" t="s">
        <v>14</v>
      </c>
      <c r="E184" t="s">
        <v>20</v>
      </c>
      <c r="F184" t="s">
        <v>26</v>
      </c>
      <c r="G184">
        <v>11</v>
      </c>
      <c r="H184" s="4">
        <v>220</v>
      </c>
      <c r="I184" s="4">
        <v>2420</v>
      </c>
      <c r="J184" t="str">
        <f>IF(Table1[[#This Row],[Revenue (£)]]&lt;500, "small", IF(Table1[[#This Row],[Revenue (£)]]&lt;2000, "medium", "Large"))</f>
        <v>Large</v>
      </c>
    </row>
    <row r="185" spans="1:10" x14ac:dyDescent="0.3">
      <c r="A185">
        <v>10184</v>
      </c>
      <c r="B185" s="2">
        <v>45415</v>
      </c>
      <c r="C185" t="s">
        <v>12</v>
      </c>
      <c r="D185" t="s">
        <v>17</v>
      </c>
      <c r="E185" t="s">
        <v>22</v>
      </c>
      <c r="F185" t="s">
        <v>25</v>
      </c>
      <c r="G185">
        <v>11</v>
      </c>
      <c r="H185" s="4">
        <v>45</v>
      </c>
      <c r="I185" s="4">
        <v>495</v>
      </c>
      <c r="J185" t="str">
        <f>IF(Table1[[#This Row],[Revenue (£)]]&lt;500, "small", IF(Table1[[#This Row],[Revenue (£)]]&lt;2000, "medium", "Large"))</f>
        <v>small</v>
      </c>
    </row>
    <row r="186" spans="1:10" x14ac:dyDescent="0.3">
      <c r="A186">
        <v>10185</v>
      </c>
      <c r="B186" s="2">
        <v>45264</v>
      </c>
      <c r="C186" t="s">
        <v>11</v>
      </c>
      <c r="D186" t="s">
        <v>18</v>
      </c>
      <c r="E186" t="s">
        <v>19</v>
      </c>
      <c r="F186" t="s">
        <v>25</v>
      </c>
      <c r="G186">
        <v>3</v>
      </c>
      <c r="H186" s="4">
        <v>75</v>
      </c>
      <c r="I186" s="4">
        <v>225</v>
      </c>
      <c r="J186" t="str">
        <f>IF(Table1[[#This Row],[Revenue (£)]]&lt;500, "small", IF(Table1[[#This Row],[Revenue (£)]]&lt;2000, "medium", "Large"))</f>
        <v>small</v>
      </c>
    </row>
    <row r="187" spans="1:10" x14ac:dyDescent="0.3">
      <c r="A187">
        <v>10186</v>
      </c>
      <c r="B187" s="2">
        <v>45399</v>
      </c>
      <c r="C187" t="s">
        <v>10</v>
      </c>
      <c r="D187" t="s">
        <v>17</v>
      </c>
      <c r="E187" t="s">
        <v>19</v>
      </c>
      <c r="F187" t="s">
        <v>25</v>
      </c>
      <c r="G187">
        <v>9</v>
      </c>
      <c r="H187" s="4">
        <v>75</v>
      </c>
      <c r="I187" s="4">
        <v>675</v>
      </c>
      <c r="J187" t="str">
        <f>IF(Table1[[#This Row],[Revenue (£)]]&lt;500, "small", IF(Table1[[#This Row],[Revenue (£)]]&lt;2000, "medium", "Large"))</f>
        <v>medium</v>
      </c>
    </row>
    <row r="188" spans="1:10" x14ac:dyDescent="0.3">
      <c r="A188">
        <v>10187</v>
      </c>
      <c r="B188" s="2">
        <v>45077</v>
      </c>
      <c r="C188" t="s">
        <v>10</v>
      </c>
      <c r="D188" t="s">
        <v>16</v>
      </c>
      <c r="E188" t="s">
        <v>22</v>
      </c>
      <c r="F188" t="s">
        <v>25</v>
      </c>
      <c r="G188">
        <v>7</v>
      </c>
      <c r="H188" s="4">
        <v>45</v>
      </c>
      <c r="I188" s="4">
        <v>315</v>
      </c>
      <c r="J188" t="str">
        <f>IF(Table1[[#This Row],[Revenue (£)]]&lt;500, "small", IF(Table1[[#This Row],[Revenue (£)]]&lt;2000, "medium", "Large"))</f>
        <v>small</v>
      </c>
    </row>
    <row r="189" spans="1:10" x14ac:dyDescent="0.3">
      <c r="A189">
        <v>10188</v>
      </c>
      <c r="B189" s="2">
        <v>45341</v>
      </c>
      <c r="C189" t="s">
        <v>13</v>
      </c>
      <c r="D189" t="s">
        <v>17</v>
      </c>
      <c r="E189" t="s">
        <v>24</v>
      </c>
      <c r="F189" t="s">
        <v>25</v>
      </c>
      <c r="G189">
        <v>7</v>
      </c>
      <c r="H189" s="4">
        <v>30</v>
      </c>
      <c r="I189" s="4">
        <v>210</v>
      </c>
      <c r="J189" t="str">
        <f>IF(Table1[[#This Row],[Revenue (£)]]&lt;500, "small", IF(Table1[[#This Row],[Revenue (£)]]&lt;2000, "medium", "Large"))</f>
        <v>small</v>
      </c>
    </row>
    <row r="190" spans="1:10" x14ac:dyDescent="0.3">
      <c r="A190">
        <v>10189</v>
      </c>
      <c r="B190" s="2">
        <v>45224</v>
      </c>
      <c r="C190" t="s">
        <v>9</v>
      </c>
      <c r="D190" t="s">
        <v>16</v>
      </c>
      <c r="E190" t="s">
        <v>24</v>
      </c>
      <c r="F190" t="s">
        <v>25</v>
      </c>
      <c r="G190">
        <v>11</v>
      </c>
      <c r="H190" s="4">
        <v>30</v>
      </c>
      <c r="I190" s="4">
        <v>330</v>
      </c>
      <c r="J190" t="str">
        <f>IF(Table1[[#This Row],[Revenue (£)]]&lt;500, "small", IF(Table1[[#This Row],[Revenue (£)]]&lt;2000, "medium", "Large"))</f>
        <v>small</v>
      </c>
    </row>
    <row r="191" spans="1:10" x14ac:dyDescent="0.3">
      <c r="A191">
        <v>10190</v>
      </c>
      <c r="B191" s="2">
        <v>45189</v>
      </c>
      <c r="C191" t="s">
        <v>13</v>
      </c>
      <c r="D191" t="s">
        <v>16</v>
      </c>
      <c r="E191" t="s">
        <v>21</v>
      </c>
      <c r="F191" t="s">
        <v>25</v>
      </c>
      <c r="G191">
        <v>6</v>
      </c>
      <c r="H191" s="4">
        <v>180</v>
      </c>
      <c r="I191" s="4">
        <v>1080</v>
      </c>
      <c r="J191" t="str">
        <f>IF(Table1[[#This Row],[Revenue (£)]]&lt;500, "small", IF(Table1[[#This Row],[Revenue (£)]]&lt;2000, "medium", "Large"))</f>
        <v>medium</v>
      </c>
    </row>
    <row r="192" spans="1:10" x14ac:dyDescent="0.3">
      <c r="A192">
        <v>10191</v>
      </c>
      <c r="B192" s="2">
        <v>45070</v>
      </c>
      <c r="C192" t="s">
        <v>11</v>
      </c>
      <c r="D192" t="s">
        <v>15</v>
      </c>
      <c r="E192" t="s">
        <v>19</v>
      </c>
      <c r="F192" t="s">
        <v>25</v>
      </c>
      <c r="G192">
        <v>8</v>
      </c>
      <c r="H192" s="4">
        <v>75</v>
      </c>
      <c r="I192" s="4">
        <v>600</v>
      </c>
      <c r="J192" t="str">
        <f>IF(Table1[[#This Row],[Revenue (£)]]&lt;500, "small", IF(Table1[[#This Row],[Revenue (£)]]&lt;2000, "medium", "Large"))</f>
        <v>medium</v>
      </c>
    </row>
    <row r="193" spans="1:10" x14ac:dyDescent="0.3">
      <c r="A193">
        <v>10192</v>
      </c>
      <c r="B193" s="2">
        <v>45272</v>
      </c>
      <c r="C193" t="s">
        <v>13</v>
      </c>
      <c r="D193" t="s">
        <v>14</v>
      </c>
      <c r="E193" t="s">
        <v>21</v>
      </c>
      <c r="F193" t="s">
        <v>25</v>
      </c>
      <c r="G193">
        <v>4</v>
      </c>
      <c r="H193" s="4">
        <v>180</v>
      </c>
      <c r="I193" s="4">
        <v>720</v>
      </c>
      <c r="J193" t="str">
        <f>IF(Table1[[#This Row],[Revenue (£)]]&lt;500, "small", IF(Table1[[#This Row],[Revenue (£)]]&lt;2000, "medium", "Large"))</f>
        <v>medium</v>
      </c>
    </row>
    <row r="194" spans="1:10" x14ac:dyDescent="0.3">
      <c r="A194">
        <v>10193</v>
      </c>
      <c r="B194" s="2">
        <v>44928</v>
      </c>
      <c r="C194" t="s">
        <v>10</v>
      </c>
      <c r="D194" t="s">
        <v>16</v>
      </c>
      <c r="E194" t="s">
        <v>19</v>
      </c>
      <c r="F194" t="s">
        <v>25</v>
      </c>
      <c r="G194">
        <v>8</v>
      </c>
      <c r="H194" s="4">
        <v>75</v>
      </c>
      <c r="I194" s="4">
        <v>600</v>
      </c>
      <c r="J194" t="str">
        <f>IF(Table1[[#This Row],[Revenue (£)]]&lt;500, "small", IF(Table1[[#This Row],[Revenue (£)]]&lt;2000, "medium", "Large"))</f>
        <v>medium</v>
      </c>
    </row>
    <row r="195" spans="1:10" x14ac:dyDescent="0.3">
      <c r="A195">
        <v>10194</v>
      </c>
      <c r="B195" s="2">
        <v>45230</v>
      </c>
      <c r="C195" t="s">
        <v>10</v>
      </c>
      <c r="D195" t="s">
        <v>15</v>
      </c>
      <c r="E195" t="s">
        <v>20</v>
      </c>
      <c r="F195" t="s">
        <v>26</v>
      </c>
      <c r="G195">
        <v>4</v>
      </c>
      <c r="H195" s="4">
        <v>220</v>
      </c>
      <c r="I195" s="4">
        <v>880</v>
      </c>
      <c r="J195" t="str">
        <f>IF(Table1[[#This Row],[Revenue (£)]]&lt;500, "small", IF(Table1[[#This Row],[Revenue (£)]]&lt;2000, "medium", "Large"))</f>
        <v>medium</v>
      </c>
    </row>
    <row r="196" spans="1:10" x14ac:dyDescent="0.3">
      <c r="A196">
        <v>10195</v>
      </c>
      <c r="B196" s="2">
        <v>45180</v>
      </c>
      <c r="C196" t="s">
        <v>12</v>
      </c>
      <c r="D196" t="s">
        <v>14</v>
      </c>
      <c r="E196" t="s">
        <v>20</v>
      </c>
      <c r="F196" t="s">
        <v>26</v>
      </c>
      <c r="G196">
        <v>8</v>
      </c>
      <c r="H196" s="4">
        <v>220</v>
      </c>
      <c r="I196" s="4">
        <v>1760</v>
      </c>
      <c r="J196" t="str">
        <f>IF(Table1[[#This Row],[Revenue (£)]]&lt;500, "small", IF(Table1[[#This Row],[Revenue (£)]]&lt;2000, "medium", "Large"))</f>
        <v>medium</v>
      </c>
    </row>
    <row r="197" spans="1:10" x14ac:dyDescent="0.3">
      <c r="A197">
        <v>10196</v>
      </c>
      <c r="B197" s="2">
        <v>45379</v>
      </c>
      <c r="C197" t="s">
        <v>12</v>
      </c>
      <c r="D197" t="s">
        <v>16</v>
      </c>
      <c r="E197" t="s">
        <v>23</v>
      </c>
      <c r="F197" t="s">
        <v>26</v>
      </c>
      <c r="G197">
        <v>9</v>
      </c>
      <c r="H197" s="4">
        <v>850</v>
      </c>
      <c r="I197" s="4">
        <v>7650</v>
      </c>
      <c r="J197" t="str">
        <f>IF(Table1[[#This Row],[Revenue (£)]]&lt;500, "small", IF(Table1[[#This Row],[Revenue (£)]]&lt;2000, "medium", "Large"))</f>
        <v>Large</v>
      </c>
    </row>
    <row r="198" spans="1:10" x14ac:dyDescent="0.3">
      <c r="A198">
        <v>10197</v>
      </c>
      <c r="B198" s="2">
        <v>44963</v>
      </c>
      <c r="C198" t="s">
        <v>11</v>
      </c>
      <c r="D198" t="s">
        <v>16</v>
      </c>
      <c r="E198" t="s">
        <v>21</v>
      </c>
      <c r="F198" t="s">
        <v>25</v>
      </c>
      <c r="G198">
        <v>3</v>
      </c>
      <c r="H198" s="4">
        <v>180</v>
      </c>
      <c r="I198" s="4">
        <v>540</v>
      </c>
      <c r="J198" t="str">
        <f>IF(Table1[[#This Row],[Revenue (£)]]&lt;500, "small", IF(Table1[[#This Row],[Revenue (£)]]&lt;2000, "medium", "Large"))</f>
        <v>medium</v>
      </c>
    </row>
    <row r="199" spans="1:10" x14ac:dyDescent="0.3">
      <c r="A199">
        <v>10198</v>
      </c>
      <c r="B199" s="2">
        <v>45086</v>
      </c>
      <c r="C199" t="s">
        <v>9</v>
      </c>
      <c r="D199" t="s">
        <v>17</v>
      </c>
      <c r="E199" t="s">
        <v>22</v>
      </c>
      <c r="F199" t="s">
        <v>25</v>
      </c>
      <c r="G199">
        <v>3</v>
      </c>
      <c r="H199" s="4">
        <v>45</v>
      </c>
      <c r="I199" s="4">
        <v>135</v>
      </c>
      <c r="J199" t="str">
        <f>IF(Table1[[#This Row],[Revenue (£)]]&lt;500, "small", IF(Table1[[#This Row],[Revenue (£)]]&lt;2000, "medium", "Large"))</f>
        <v>small</v>
      </c>
    </row>
    <row r="200" spans="1:10" x14ac:dyDescent="0.3">
      <c r="A200">
        <v>10199</v>
      </c>
      <c r="B200" s="2">
        <v>44935</v>
      </c>
      <c r="C200" t="s">
        <v>13</v>
      </c>
      <c r="D200" t="s">
        <v>17</v>
      </c>
      <c r="E200" t="s">
        <v>21</v>
      </c>
      <c r="F200" t="s">
        <v>25</v>
      </c>
      <c r="G200">
        <v>11</v>
      </c>
      <c r="H200" s="4">
        <v>180</v>
      </c>
      <c r="I200" s="4">
        <v>1980</v>
      </c>
      <c r="J200" t="str">
        <f>IF(Table1[[#This Row],[Revenue (£)]]&lt;500, "small", IF(Table1[[#This Row],[Revenue (£)]]&lt;2000, "medium", "Large"))</f>
        <v>medium</v>
      </c>
    </row>
    <row r="201" spans="1:10" x14ac:dyDescent="0.3">
      <c r="A201">
        <v>10200</v>
      </c>
      <c r="B201" s="2">
        <v>45159</v>
      </c>
      <c r="C201" t="s">
        <v>11</v>
      </c>
      <c r="D201" t="s">
        <v>14</v>
      </c>
      <c r="E201" t="s">
        <v>22</v>
      </c>
      <c r="F201" t="s">
        <v>25</v>
      </c>
      <c r="G201">
        <v>13</v>
      </c>
      <c r="H201" s="4">
        <v>45</v>
      </c>
      <c r="I201" s="4">
        <v>585</v>
      </c>
      <c r="J201" t="str">
        <f>IF(Table1[[#This Row],[Revenue (£)]]&lt;500, "small", IF(Table1[[#This Row],[Revenue (£)]]&lt;2000, "medium", "Large"))</f>
        <v>medium</v>
      </c>
    </row>
    <row r="202" spans="1:10" x14ac:dyDescent="0.3">
      <c r="A202">
        <v>10201</v>
      </c>
      <c r="B202" s="2">
        <v>45025</v>
      </c>
      <c r="C202" t="s">
        <v>12</v>
      </c>
      <c r="D202" t="s">
        <v>16</v>
      </c>
      <c r="E202" t="s">
        <v>24</v>
      </c>
      <c r="F202" t="s">
        <v>25</v>
      </c>
      <c r="G202">
        <v>2</v>
      </c>
      <c r="H202" s="4">
        <v>30</v>
      </c>
      <c r="I202" s="4">
        <v>60</v>
      </c>
      <c r="J202" t="str">
        <f>IF(Table1[[#This Row],[Revenue (£)]]&lt;500, "small", IF(Table1[[#This Row],[Revenue (£)]]&lt;2000, "medium", "Large"))</f>
        <v>small</v>
      </c>
    </row>
    <row r="203" spans="1:10" x14ac:dyDescent="0.3">
      <c r="A203">
        <v>10202</v>
      </c>
      <c r="B203" s="2">
        <v>45134</v>
      </c>
      <c r="C203" t="s">
        <v>13</v>
      </c>
      <c r="D203" t="s">
        <v>18</v>
      </c>
      <c r="E203" t="s">
        <v>21</v>
      </c>
      <c r="F203" t="s">
        <v>25</v>
      </c>
      <c r="G203">
        <v>13</v>
      </c>
      <c r="H203" s="4">
        <v>180</v>
      </c>
      <c r="I203" s="4">
        <v>2340</v>
      </c>
      <c r="J203" t="str">
        <f>IF(Table1[[#This Row],[Revenue (£)]]&lt;500, "small", IF(Table1[[#This Row],[Revenue (£)]]&lt;2000, "medium", "Large"))</f>
        <v>Large</v>
      </c>
    </row>
    <row r="204" spans="1:10" x14ac:dyDescent="0.3">
      <c r="A204">
        <v>10203</v>
      </c>
      <c r="B204" s="2">
        <v>45057</v>
      </c>
      <c r="C204" t="s">
        <v>12</v>
      </c>
      <c r="D204" t="s">
        <v>17</v>
      </c>
      <c r="E204" t="s">
        <v>24</v>
      </c>
      <c r="F204" t="s">
        <v>25</v>
      </c>
      <c r="G204">
        <v>10</v>
      </c>
      <c r="H204" s="4">
        <v>30</v>
      </c>
      <c r="I204" s="4">
        <v>300</v>
      </c>
      <c r="J204" t="str">
        <f>IF(Table1[[#This Row],[Revenue (£)]]&lt;500, "small", IF(Table1[[#This Row],[Revenue (£)]]&lt;2000, "medium", "Large"))</f>
        <v>small</v>
      </c>
    </row>
    <row r="205" spans="1:10" x14ac:dyDescent="0.3">
      <c r="A205">
        <v>10204</v>
      </c>
      <c r="B205" s="2">
        <v>45330</v>
      </c>
      <c r="C205" t="s">
        <v>13</v>
      </c>
      <c r="D205" t="s">
        <v>14</v>
      </c>
      <c r="E205" t="s">
        <v>20</v>
      </c>
      <c r="F205" t="s">
        <v>26</v>
      </c>
      <c r="G205">
        <v>3</v>
      </c>
      <c r="H205" s="4">
        <v>220</v>
      </c>
      <c r="I205" s="4">
        <v>660</v>
      </c>
      <c r="J205" t="str">
        <f>IF(Table1[[#This Row],[Revenue (£)]]&lt;500, "small", IF(Table1[[#This Row],[Revenue (£)]]&lt;2000, "medium", "Large"))</f>
        <v>medium</v>
      </c>
    </row>
    <row r="206" spans="1:10" x14ac:dyDescent="0.3">
      <c r="A206">
        <v>10205</v>
      </c>
      <c r="B206" s="2">
        <v>45078</v>
      </c>
      <c r="C206" t="s">
        <v>9</v>
      </c>
      <c r="D206" t="s">
        <v>16</v>
      </c>
      <c r="E206" t="s">
        <v>20</v>
      </c>
      <c r="F206" t="s">
        <v>26</v>
      </c>
      <c r="G206">
        <v>3</v>
      </c>
      <c r="H206" s="4">
        <v>220</v>
      </c>
      <c r="I206" s="4">
        <v>660</v>
      </c>
      <c r="J206" t="str">
        <f>IF(Table1[[#This Row],[Revenue (£)]]&lt;500, "small", IF(Table1[[#This Row],[Revenue (£)]]&lt;2000, "medium", "Large"))</f>
        <v>medium</v>
      </c>
    </row>
    <row r="207" spans="1:10" x14ac:dyDescent="0.3">
      <c r="A207">
        <v>10206</v>
      </c>
      <c r="B207" s="2">
        <v>44980</v>
      </c>
      <c r="C207" t="s">
        <v>11</v>
      </c>
      <c r="D207" t="s">
        <v>16</v>
      </c>
      <c r="E207" t="s">
        <v>23</v>
      </c>
      <c r="F207" t="s">
        <v>26</v>
      </c>
      <c r="G207">
        <v>5</v>
      </c>
      <c r="H207" s="4">
        <v>850</v>
      </c>
      <c r="I207" s="4">
        <v>4250</v>
      </c>
      <c r="J207" t="str">
        <f>IF(Table1[[#This Row],[Revenue (£)]]&lt;500, "small", IF(Table1[[#This Row],[Revenue (£)]]&lt;2000, "medium", "Large"))</f>
        <v>Large</v>
      </c>
    </row>
    <row r="208" spans="1:10" x14ac:dyDescent="0.3">
      <c r="A208">
        <v>10207</v>
      </c>
      <c r="B208" s="2">
        <v>45046</v>
      </c>
      <c r="C208" t="s">
        <v>13</v>
      </c>
      <c r="D208" t="s">
        <v>18</v>
      </c>
      <c r="E208" t="s">
        <v>21</v>
      </c>
      <c r="F208" t="s">
        <v>25</v>
      </c>
      <c r="G208">
        <v>5</v>
      </c>
      <c r="H208" s="4">
        <v>180</v>
      </c>
      <c r="I208" s="4">
        <v>900</v>
      </c>
      <c r="J208" t="str">
        <f>IF(Table1[[#This Row],[Revenue (£)]]&lt;500, "small", IF(Table1[[#This Row],[Revenue (£)]]&lt;2000, "medium", "Large"))</f>
        <v>medium</v>
      </c>
    </row>
    <row r="209" spans="1:10" x14ac:dyDescent="0.3">
      <c r="A209">
        <v>10208</v>
      </c>
      <c r="B209" s="2">
        <v>45346</v>
      </c>
      <c r="C209" t="s">
        <v>10</v>
      </c>
      <c r="D209" t="s">
        <v>14</v>
      </c>
      <c r="E209" t="s">
        <v>24</v>
      </c>
      <c r="F209" t="s">
        <v>25</v>
      </c>
      <c r="G209">
        <v>2</v>
      </c>
      <c r="H209" s="4">
        <v>30</v>
      </c>
      <c r="I209" s="4">
        <v>60</v>
      </c>
      <c r="J209" t="str">
        <f>IF(Table1[[#This Row],[Revenue (£)]]&lt;500, "small", IF(Table1[[#This Row],[Revenue (£)]]&lt;2000, "medium", "Large"))</f>
        <v>small</v>
      </c>
    </row>
    <row r="210" spans="1:10" x14ac:dyDescent="0.3">
      <c r="A210">
        <v>10209</v>
      </c>
      <c r="B210" s="2">
        <v>45348</v>
      </c>
      <c r="C210" t="s">
        <v>10</v>
      </c>
      <c r="D210" t="s">
        <v>16</v>
      </c>
      <c r="E210" t="s">
        <v>22</v>
      </c>
      <c r="F210" t="s">
        <v>25</v>
      </c>
      <c r="G210">
        <v>12</v>
      </c>
      <c r="H210" s="4">
        <v>45</v>
      </c>
      <c r="I210" s="4">
        <v>540</v>
      </c>
      <c r="J210" t="str">
        <f>IF(Table1[[#This Row],[Revenue (£)]]&lt;500, "small", IF(Table1[[#This Row],[Revenue (£)]]&lt;2000, "medium", "Large"))</f>
        <v>medium</v>
      </c>
    </row>
    <row r="211" spans="1:10" x14ac:dyDescent="0.3">
      <c r="A211">
        <v>10210</v>
      </c>
      <c r="B211" s="2">
        <v>45030</v>
      </c>
      <c r="C211" t="s">
        <v>13</v>
      </c>
      <c r="D211" t="s">
        <v>17</v>
      </c>
      <c r="E211" t="s">
        <v>20</v>
      </c>
      <c r="F211" t="s">
        <v>26</v>
      </c>
      <c r="G211">
        <v>10</v>
      </c>
      <c r="H211" s="4">
        <v>220</v>
      </c>
      <c r="I211" s="4">
        <v>2200</v>
      </c>
      <c r="J211" t="str">
        <f>IF(Table1[[#This Row],[Revenue (£)]]&lt;500, "small", IF(Table1[[#This Row],[Revenue (£)]]&lt;2000, "medium", "Large"))</f>
        <v>Large</v>
      </c>
    </row>
    <row r="212" spans="1:10" x14ac:dyDescent="0.3">
      <c r="A212">
        <v>10211</v>
      </c>
      <c r="B212" s="2">
        <v>45180</v>
      </c>
      <c r="C212" t="s">
        <v>13</v>
      </c>
      <c r="D212" t="s">
        <v>18</v>
      </c>
      <c r="E212" t="s">
        <v>20</v>
      </c>
      <c r="F212" t="s">
        <v>26</v>
      </c>
      <c r="G212">
        <v>13</v>
      </c>
      <c r="H212" s="4">
        <v>220</v>
      </c>
      <c r="I212" s="4">
        <v>2860</v>
      </c>
      <c r="J212" t="str">
        <f>IF(Table1[[#This Row],[Revenue (£)]]&lt;500, "small", IF(Table1[[#This Row],[Revenue (£)]]&lt;2000, "medium", "Large"))</f>
        <v>Large</v>
      </c>
    </row>
    <row r="213" spans="1:10" x14ac:dyDescent="0.3">
      <c r="A213">
        <v>10212</v>
      </c>
      <c r="B213" s="2">
        <v>45153</v>
      </c>
      <c r="C213" t="s">
        <v>13</v>
      </c>
      <c r="D213" t="s">
        <v>14</v>
      </c>
      <c r="E213" t="s">
        <v>22</v>
      </c>
      <c r="F213" t="s">
        <v>25</v>
      </c>
      <c r="G213">
        <v>6</v>
      </c>
      <c r="H213" s="4">
        <v>45</v>
      </c>
      <c r="I213" s="4">
        <v>270</v>
      </c>
      <c r="J213" t="str">
        <f>IF(Table1[[#This Row],[Revenue (£)]]&lt;500, "small", IF(Table1[[#This Row],[Revenue (£)]]&lt;2000, "medium", "Large"))</f>
        <v>small</v>
      </c>
    </row>
    <row r="214" spans="1:10" x14ac:dyDescent="0.3">
      <c r="A214">
        <v>10213</v>
      </c>
      <c r="B214" s="2">
        <v>45038</v>
      </c>
      <c r="C214" t="s">
        <v>10</v>
      </c>
      <c r="D214" t="s">
        <v>18</v>
      </c>
      <c r="E214" t="s">
        <v>24</v>
      </c>
      <c r="F214" t="s">
        <v>25</v>
      </c>
      <c r="G214">
        <v>5</v>
      </c>
      <c r="H214" s="4">
        <v>30</v>
      </c>
      <c r="I214" s="4">
        <v>150</v>
      </c>
      <c r="J214" t="str">
        <f>IF(Table1[[#This Row],[Revenue (£)]]&lt;500, "small", IF(Table1[[#This Row],[Revenue (£)]]&lt;2000, "medium", "Large"))</f>
        <v>small</v>
      </c>
    </row>
    <row r="215" spans="1:10" x14ac:dyDescent="0.3">
      <c r="A215">
        <v>10214</v>
      </c>
      <c r="B215" s="2">
        <v>45436</v>
      </c>
      <c r="C215" t="s">
        <v>10</v>
      </c>
      <c r="D215" t="s">
        <v>17</v>
      </c>
      <c r="E215" t="s">
        <v>24</v>
      </c>
      <c r="F215" t="s">
        <v>25</v>
      </c>
      <c r="G215">
        <v>6</v>
      </c>
      <c r="H215" s="4">
        <v>30</v>
      </c>
      <c r="I215" s="4">
        <v>180</v>
      </c>
      <c r="J215" t="str">
        <f>IF(Table1[[#This Row],[Revenue (£)]]&lt;500, "small", IF(Table1[[#This Row],[Revenue (£)]]&lt;2000, "medium", "Large"))</f>
        <v>small</v>
      </c>
    </row>
    <row r="216" spans="1:10" x14ac:dyDescent="0.3">
      <c r="A216">
        <v>10215</v>
      </c>
      <c r="B216" s="2">
        <v>45399</v>
      </c>
      <c r="C216" t="s">
        <v>13</v>
      </c>
      <c r="D216" t="s">
        <v>14</v>
      </c>
      <c r="E216" t="s">
        <v>21</v>
      </c>
      <c r="F216" t="s">
        <v>25</v>
      </c>
      <c r="G216">
        <v>1</v>
      </c>
      <c r="H216" s="4">
        <v>180</v>
      </c>
      <c r="I216" s="4">
        <v>180</v>
      </c>
      <c r="J216" t="str">
        <f>IF(Table1[[#This Row],[Revenue (£)]]&lt;500, "small", IF(Table1[[#This Row],[Revenue (£)]]&lt;2000, "medium", "Large"))</f>
        <v>small</v>
      </c>
    </row>
    <row r="217" spans="1:10" x14ac:dyDescent="0.3">
      <c r="A217">
        <v>10216</v>
      </c>
      <c r="B217" s="2">
        <v>45025</v>
      </c>
      <c r="C217" t="s">
        <v>12</v>
      </c>
      <c r="D217" t="s">
        <v>18</v>
      </c>
      <c r="E217" t="s">
        <v>21</v>
      </c>
      <c r="F217" t="s">
        <v>25</v>
      </c>
      <c r="G217">
        <v>5</v>
      </c>
      <c r="H217" s="4">
        <v>180</v>
      </c>
      <c r="I217" s="4">
        <v>900</v>
      </c>
      <c r="J217" t="str">
        <f>IF(Table1[[#This Row],[Revenue (£)]]&lt;500, "small", IF(Table1[[#This Row],[Revenue (£)]]&lt;2000, "medium", "Large"))</f>
        <v>medium</v>
      </c>
    </row>
    <row r="218" spans="1:10" x14ac:dyDescent="0.3">
      <c r="A218">
        <v>10217</v>
      </c>
      <c r="B218" s="2">
        <v>45079</v>
      </c>
      <c r="C218" t="s">
        <v>12</v>
      </c>
      <c r="D218" t="s">
        <v>15</v>
      </c>
      <c r="E218" t="s">
        <v>19</v>
      </c>
      <c r="F218" t="s">
        <v>25</v>
      </c>
      <c r="G218">
        <v>9</v>
      </c>
      <c r="H218" s="4">
        <v>75</v>
      </c>
      <c r="I218" s="4">
        <v>675</v>
      </c>
      <c r="J218" t="str">
        <f>IF(Table1[[#This Row],[Revenue (£)]]&lt;500, "small", IF(Table1[[#This Row],[Revenue (£)]]&lt;2000, "medium", "Large"))</f>
        <v>medium</v>
      </c>
    </row>
    <row r="219" spans="1:10" x14ac:dyDescent="0.3">
      <c r="A219">
        <v>10218</v>
      </c>
      <c r="B219" s="2">
        <v>45264</v>
      </c>
      <c r="C219" t="s">
        <v>9</v>
      </c>
      <c r="D219" t="s">
        <v>17</v>
      </c>
      <c r="E219" t="s">
        <v>19</v>
      </c>
      <c r="F219" t="s">
        <v>25</v>
      </c>
      <c r="G219">
        <v>12</v>
      </c>
      <c r="H219" s="4">
        <v>75</v>
      </c>
      <c r="I219" s="4">
        <v>900</v>
      </c>
      <c r="J219" t="str">
        <f>IF(Table1[[#This Row],[Revenue (£)]]&lt;500, "small", IF(Table1[[#This Row],[Revenue (£)]]&lt;2000, "medium", "Large"))</f>
        <v>medium</v>
      </c>
    </row>
    <row r="220" spans="1:10" x14ac:dyDescent="0.3">
      <c r="A220">
        <v>10219</v>
      </c>
      <c r="B220" s="2">
        <v>45089</v>
      </c>
      <c r="C220" t="s">
        <v>11</v>
      </c>
      <c r="D220" t="s">
        <v>17</v>
      </c>
      <c r="E220" t="s">
        <v>23</v>
      </c>
      <c r="F220" t="s">
        <v>26</v>
      </c>
      <c r="G220">
        <v>10</v>
      </c>
      <c r="H220" s="4">
        <v>850</v>
      </c>
      <c r="I220" s="4">
        <v>8500</v>
      </c>
      <c r="J220" t="str">
        <f>IF(Table1[[#This Row],[Revenue (£)]]&lt;500, "small", IF(Table1[[#This Row],[Revenue (£)]]&lt;2000, "medium", "Large"))</f>
        <v>Large</v>
      </c>
    </row>
    <row r="221" spans="1:10" x14ac:dyDescent="0.3">
      <c r="A221">
        <v>10220</v>
      </c>
      <c r="B221" s="2">
        <v>45087</v>
      </c>
      <c r="C221" t="s">
        <v>12</v>
      </c>
      <c r="D221" t="s">
        <v>17</v>
      </c>
      <c r="E221" t="s">
        <v>20</v>
      </c>
      <c r="F221" t="s">
        <v>26</v>
      </c>
      <c r="G221">
        <v>14</v>
      </c>
      <c r="H221" s="4">
        <v>220</v>
      </c>
      <c r="I221" s="4">
        <v>3080</v>
      </c>
      <c r="J221" t="str">
        <f>IF(Table1[[#This Row],[Revenue (£)]]&lt;500, "small", IF(Table1[[#This Row],[Revenue (£)]]&lt;2000, "medium", "Large"))</f>
        <v>Large</v>
      </c>
    </row>
    <row r="222" spans="1:10" x14ac:dyDescent="0.3">
      <c r="A222">
        <v>10221</v>
      </c>
      <c r="B222" s="2">
        <v>45324</v>
      </c>
      <c r="C222" t="s">
        <v>10</v>
      </c>
      <c r="D222" t="s">
        <v>15</v>
      </c>
      <c r="E222" t="s">
        <v>21</v>
      </c>
      <c r="F222" t="s">
        <v>25</v>
      </c>
      <c r="G222">
        <v>2</v>
      </c>
      <c r="H222" s="4">
        <v>180</v>
      </c>
      <c r="I222" s="4">
        <v>360</v>
      </c>
      <c r="J222" t="str">
        <f>IF(Table1[[#This Row],[Revenue (£)]]&lt;500, "small", IF(Table1[[#This Row],[Revenue (£)]]&lt;2000, "medium", "Large"))</f>
        <v>small</v>
      </c>
    </row>
    <row r="223" spans="1:10" x14ac:dyDescent="0.3">
      <c r="A223">
        <v>10222</v>
      </c>
      <c r="B223" s="2">
        <v>45203</v>
      </c>
      <c r="C223" t="s">
        <v>12</v>
      </c>
      <c r="D223" t="s">
        <v>15</v>
      </c>
      <c r="E223" t="s">
        <v>24</v>
      </c>
      <c r="F223" t="s">
        <v>25</v>
      </c>
      <c r="G223">
        <v>1</v>
      </c>
      <c r="H223" s="4">
        <v>30</v>
      </c>
      <c r="I223" s="4">
        <v>30</v>
      </c>
      <c r="J223" t="str">
        <f>IF(Table1[[#This Row],[Revenue (£)]]&lt;500, "small", IF(Table1[[#This Row],[Revenue (£)]]&lt;2000, "medium", "Large"))</f>
        <v>small</v>
      </c>
    </row>
    <row r="224" spans="1:10" x14ac:dyDescent="0.3">
      <c r="A224">
        <v>10223</v>
      </c>
      <c r="B224" s="2">
        <v>45430</v>
      </c>
      <c r="C224" t="s">
        <v>9</v>
      </c>
      <c r="D224" t="s">
        <v>16</v>
      </c>
      <c r="E224" t="s">
        <v>22</v>
      </c>
      <c r="F224" t="s">
        <v>25</v>
      </c>
      <c r="G224">
        <v>14</v>
      </c>
      <c r="H224" s="4">
        <v>45</v>
      </c>
      <c r="I224" s="4">
        <v>630</v>
      </c>
      <c r="J224" t="str">
        <f>IF(Table1[[#This Row],[Revenue (£)]]&lt;500, "small", IF(Table1[[#This Row],[Revenue (£)]]&lt;2000, "medium", "Large"))</f>
        <v>medium</v>
      </c>
    </row>
    <row r="225" spans="1:10" x14ac:dyDescent="0.3">
      <c r="A225">
        <v>10224</v>
      </c>
      <c r="B225" s="2">
        <v>45318</v>
      </c>
      <c r="C225" t="s">
        <v>9</v>
      </c>
      <c r="D225" t="s">
        <v>18</v>
      </c>
      <c r="E225" t="s">
        <v>24</v>
      </c>
      <c r="F225" t="s">
        <v>25</v>
      </c>
      <c r="G225">
        <v>10</v>
      </c>
      <c r="H225" s="4">
        <v>30</v>
      </c>
      <c r="I225" s="4">
        <v>300</v>
      </c>
      <c r="J225" t="str">
        <f>IF(Table1[[#This Row],[Revenue (£)]]&lt;500, "small", IF(Table1[[#This Row],[Revenue (£)]]&lt;2000, "medium", "Large"))</f>
        <v>small</v>
      </c>
    </row>
    <row r="226" spans="1:10" x14ac:dyDescent="0.3">
      <c r="A226">
        <v>10225</v>
      </c>
      <c r="B226" s="2">
        <v>45061</v>
      </c>
      <c r="C226" t="s">
        <v>11</v>
      </c>
      <c r="D226" t="s">
        <v>16</v>
      </c>
      <c r="E226" t="s">
        <v>20</v>
      </c>
      <c r="F226" t="s">
        <v>26</v>
      </c>
      <c r="G226">
        <v>13</v>
      </c>
      <c r="H226" s="4">
        <v>220</v>
      </c>
      <c r="I226" s="4">
        <v>2860</v>
      </c>
      <c r="J226" t="str">
        <f>IF(Table1[[#This Row],[Revenue (£)]]&lt;500, "small", IF(Table1[[#This Row],[Revenue (£)]]&lt;2000, "medium", "Large"))</f>
        <v>Large</v>
      </c>
    </row>
    <row r="227" spans="1:10" x14ac:dyDescent="0.3">
      <c r="A227">
        <v>10226</v>
      </c>
      <c r="B227" s="2">
        <v>45121</v>
      </c>
      <c r="C227" t="s">
        <v>12</v>
      </c>
      <c r="D227" t="s">
        <v>18</v>
      </c>
      <c r="E227" t="s">
        <v>19</v>
      </c>
      <c r="F227" t="s">
        <v>25</v>
      </c>
      <c r="G227">
        <v>11</v>
      </c>
      <c r="H227" s="4">
        <v>75</v>
      </c>
      <c r="I227" s="4">
        <v>825</v>
      </c>
      <c r="J227" t="str">
        <f>IF(Table1[[#This Row],[Revenue (£)]]&lt;500, "small", IF(Table1[[#This Row],[Revenue (£)]]&lt;2000, "medium", "Large"))</f>
        <v>medium</v>
      </c>
    </row>
    <row r="228" spans="1:10" x14ac:dyDescent="0.3">
      <c r="A228">
        <v>10227</v>
      </c>
      <c r="B228" s="2">
        <v>45327</v>
      </c>
      <c r="C228" t="s">
        <v>10</v>
      </c>
      <c r="D228" t="s">
        <v>15</v>
      </c>
      <c r="E228" t="s">
        <v>24</v>
      </c>
      <c r="F228" t="s">
        <v>25</v>
      </c>
      <c r="G228">
        <v>9</v>
      </c>
      <c r="H228" s="4">
        <v>30</v>
      </c>
      <c r="I228" s="4">
        <v>270</v>
      </c>
      <c r="J228" t="str">
        <f>IF(Table1[[#This Row],[Revenue (£)]]&lt;500, "small", IF(Table1[[#This Row],[Revenue (£)]]&lt;2000, "medium", "Large"))</f>
        <v>small</v>
      </c>
    </row>
    <row r="229" spans="1:10" x14ac:dyDescent="0.3">
      <c r="A229">
        <v>10228</v>
      </c>
      <c r="B229" s="2">
        <v>44959</v>
      </c>
      <c r="C229" t="s">
        <v>10</v>
      </c>
      <c r="D229" t="s">
        <v>15</v>
      </c>
      <c r="E229" t="s">
        <v>23</v>
      </c>
      <c r="F229" t="s">
        <v>26</v>
      </c>
      <c r="G229">
        <v>10</v>
      </c>
      <c r="H229" s="4">
        <v>850</v>
      </c>
      <c r="I229" s="4">
        <v>8500</v>
      </c>
      <c r="J229" t="str">
        <f>IF(Table1[[#This Row],[Revenue (£)]]&lt;500, "small", IF(Table1[[#This Row],[Revenue (£)]]&lt;2000, "medium", "Large"))</f>
        <v>Large</v>
      </c>
    </row>
    <row r="230" spans="1:10" x14ac:dyDescent="0.3">
      <c r="A230">
        <v>10229</v>
      </c>
      <c r="B230" s="2">
        <v>45386</v>
      </c>
      <c r="C230" t="s">
        <v>13</v>
      </c>
      <c r="D230" t="s">
        <v>16</v>
      </c>
      <c r="E230" t="s">
        <v>20</v>
      </c>
      <c r="F230" t="s">
        <v>26</v>
      </c>
      <c r="G230">
        <v>9</v>
      </c>
      <c r="H230" s="4">
        <v>220</v>
      </c>
      <c r="I230" s="4">
        <v>1980</v>
      </c>
      <c r="J230" t="str">
        <f>IF(Table1[[#This Row],[Revenue (£)]]&lt;500, "small", IF(Table1[[#This Row],[Revenue (£)]]&lt;2000, "medium", "Large"))</f>
        <v>medium</v>
      </c>
    </row>
    <row r="231" spans="1:10" x14ac:dyDescent="0.3">
      <c r="A231">
        <v>10230</v>
      </c>
      <c r="B231" s="2">
        <v>45396</v>
      </c>
      <c r="C231" t="s">
        <v>10</v>
      </c>
      <c r="D231" t="s">
        <v>14</v>
      </c>
      <c r="E231" t="s">
        <v>19</v>
      </c>
      <c r="F231" t="s">
        <v>25</v>
      </c>
      <c r="G231">
        <v>9</v>
      </c>
      <c r="H231" s="4">
        <v>75</v>
      </c>
      <c r="I231" s="4">
        <v>675</v>
      </c>
      <c r="J231" t="str">
        <f>IF(Table1[[#This Row],[Revenue (£)]]&lt;500, "small", IF(Table1[[#This Row],[Revenue (£)]]&lt;2000, "medium", "Large"))</f>
        <v>medium</v>
      </c>
    </row>
    <row r="232" spans="1:10" x14ac:dyDescent="0.3">
      <c r="A232">
        <v>10231</v>
      </c>
      <c r="B232" s="2">
        <v>45301</v>
      </c>
      <c r="C232" t="s">
        <v>11</v>
      </c>
      <c r="D232" t="s">
        <v>16</v>
      </c>
      <c r="E232" t="s">
        <v>22</v>
      </c>
      <c r="F232" t="s">
        <v>25</v>
      </c>
      <c r="G232">
        <v>6</v>
      </c>
      <c r="H232" s="4">
        <v>45</v>
      </c>
      <c r="I232" s="4">
        <v>270</v>
      </c>
      <c r="J232" t="str">
        <f>IF(Table1[[#This Row],[Revenue (£)]]&lt;500, "small", IF(Table1[[#This Row],[Revenue (£)]]&lt;2000, "medium", "Large"))</f>
        <v>small</v>
      </c>
    </row>
    <row r="233" spans="1:10" x14ac:dyDescent="0.3">
      <c r="A233">
        <v>10232</v>
      </c>
      <c r="B233" s="2">
        <v>44948</v>
      </c>
      <c r="C233" t="s">
        <v>11</v>
      </c>
      <c r="D233" t="s">
        <v>18</v>
      </c>
      <c r="E233" t="s">
        <v>19</v>
      </c>
      <c r="F233" t="s">
        <v>25</v>
      </c>
      <c r="G233">
        <v>8</v>
      </c>
      <c r="H233" s="4">
        <v>75</v>
      </c>
      <c r="I233" s="4">
        <v>600</v>
      </c>
      <c r="J233" t="str">
        <f>IF(Table1[[#This Row],[Revenue (£)]]&lt;500, "small", IF(Table1[[#This Row],[Revenue (£)]]&lt;2000, "medium", "Large"))</f>
        <v>medium</v>
      </c>
    </row>
    <row r="234" spans="1:10" x14ac:dyDescent="0.3">
      <c r="A234">
        <v>10233</v>
      </c>
      <c r="B234" s="2">
        <v>44964</v>
      </c>
      <c r="C234" t="s">
        <v>10</v>
      </c>
      <c r="D234" t="s">
        <v>16</v>
      </c>
      <c r="E234" t="s">
        <v>23</v>
      </c>
      <c r="F234" t="s">
        <v>26</v>
      </c>
      <c r="G234">
        <v>14</v>
      </c>
      <c r="H234" s="4">
        <v>850</v>
      </c>
      <c r="I234" s="4">
        <v>11900</v>
      </c>
      <c r="J234" t="str">
        <f>IF(Table1[[#This Row],[Revenue (£)]]&lt;500, "small", IF(Table1[[#This Row],[Revenue (£)]]&lt;2000, "medium", "Large"))</f>
        <v>Large</v>
      </c>
    </row>
    <row r="235" spans="1:10" x14ac:dyDescent="0.3">
      <c r="A235">
        <v>10234</v>
      </c>
      <c r="B235" s="2">
        <v>45156</v>
      </c>
      <c r="C235" t="s">
        <v>10</v>
      </c>
      <c r="D235" t="s">
        <v>17</v>
      </c>
      <c r="E235" t="s">
        <v>20</v>
      </c>
      <c r="F235" t="s">
        <v>26</v>
      </c>
      <c r="G235">
        <v>11</v>
      </c>
      <c r="H235" s="4">
        <v>220</v>
      </c>
      <c r="I235" s="4">
        <v>2420</v>
      </c>
      <c r="J235" t="str">
        <f>IF(Table1[[#This Row],[Revenue (£)]]&lt;500, "small", IF(Table1[[#This Row],[Revenue (£)]]&lt;2000, "medium", "Large"))</f>
        <v>Large</v>
      </c>
    </row>
    <row r="236" spans="1:10" x14ac:dyDescent="0.3">
      <c r="A236">
        <v>10235</v>
      </c>
      <c r="B236" s="2">
        <v>45291</v>
      </c>
      <c r="C236" t="s">
        <v>13</v>
      </c>
      <c r="D236" t="s">
        <v>18</v>
      </c>
      <c r="E236" t="s">
        <v>22</v>
      </c>
      <c r="F236" t="s">
        <v>25</v>
      </c>
      <c r="G236">
        <v>13</v>
      </c>
      <c r="H236" s="4">
        <v>45</v>
      </c>
      <c r="I236" s="4">
        <v>585</v>
      </c>
      <c r="J236" t="str">
        <f>IF(Table1[[#This Row],[Revenue (£)]]&lt;500, "small", IF(Table1[[#This Row],[Revenue (£)]]&lt;2000, "medium", "Large"))</f>
        <v>medium</v>
      </c>
    </row>
    <row r="237" spans="1:10" x14ac:dyDescent="0.3">
      <c r="A237">
        <v>10236</v>
      </c>
      <c r="B237" s="2">
        <v>45364</v>
      </c>
      <c r="C237" t="s">
        <v>10</v>
      </c>
      <c r="D237" t="s">
        <v>18</v>
      </c>
      <c r="E237" t="s">
        <v>23</v>
      </c>
      <c r="F237" t="s">
        <v>26</v>
      </c>
      <c r="G237">
        <v>1</v>
      </c>
      <c r="H237" s="4">
        <v>850</v>
      </c>
      <c r="I237" s="4">
        <v>850</v>
      </c>
      <c r="J237" t="str">
        <f>IF(Table1[[#This Row],[Revenue (£)]]&lt;500, "small", IF(Table1[[#This Row],[Revenue (£)]]&lt;2000, "medium", "Large"))</f>
        <v>medium</v>
      </c>
    </row>
    <row r="238" spans="1:10" x14ac:dyDescent="0.3">
      <c r="A238">
        <v>10237</v>
      </c>
      <c r="B238" s="2">
        <v>45209</v>
      </c>
      <c r="C238" t="s">
        <v>13</v>
      </c>
      <c r="D238" t="s">
        <v>14</v>
      </c>
      <c r="E238" t="s">
        <v>19</v>
      </c>
      <c r="F238" t="s">
        <v>25</v>
      </c>
      <c r="G238">
        <v>10</v>
      </c>
      <c r="H238" s="4">
        <v>75</v>
      </c>
      <c r="I238" s="4">
        <v>750</v>
      </c>
      <c r="J238" t="str">
        <f>IF(Table1[[#This Row],[Revenue (£)]]&lt;500, "small", IF(Table1[[#This Row],[Revenue (£)]]&lt;2000, "medium", "Large"))</f>
        <v>medium</v>
      </c>
    </row>
    <row r="239" spans="1:10" x14ac:dyDescent="0.3">
      <c r="A239">
        <v>10238</v>
      </c>
      <c r="B239" s="2">
        <v>44953</v>
      </c>
      <c r="C239" t="s">
        <v>13</v>
      </c>
      <c r="D239" t="s">
        <v>15</v>
      </c>
      <c r="E239" t="s">
        <v>23</v>
      </c>
      <c r="F239" t="s">
        <v>26</v>
      </c>
      <c r="G239">
        <v>4</v>
      </c>
      <c r="H239" s="4">
        <v>850</v>
      </c>
      <c r="I239" s="4">
        <v>3400</v>
      </c>
      <c r="J239" t="str">
        <f>IF(Table1[[#This Row],[Revenue (£)]]&lt;500, "small", IF(Table1[[#This Row],[Revenue (£)]]&lt;2000, "medium", "Large"))</f>
        <v>Large</v>
      </c>
    </row>
    <row r="240" spans="1:10" x14ac:dyDescent="0.3">
      <c r="A240">
        <v>10239</v>
      </c>
      <c r="B240" s="2">
        <v>45152</v>
      </c>
      <c r="C240" t="s">
        <v>10</v>
      </c>
      <c r="D240" t="s">
        <v>18</v>
      </c>
      <c r="E240" t="s">
        <v>20</v>
      </c>
      <c r="F240" t="s">
        <v>26</v>
      </c>
      <c r="G240">
        <v>1</v>
      </c>
      <c r="H240" s="4">
        <v>220</v>
      </c>
      <c r="I240" s="4">
        <v>220</v>
      </c>
      <c r="J240" t="str">
        <f>IF(Table1[[#This Row],[Revenue (£)]]&lt;500, "small", IF(Table1[[#This Row],[Revenue (£)]]&lt;2000, "medium", "Large"))</f>
        <v>small</v>
      </c>
    </row>
    <row r="241" spans="1:10" x14ac:dyDescent="0.3">
      <c r="A241">
        <v>10240</v>
      </c>
      <c r="B241" s="2">
        <v>45203</v>
      </c>
      <c r="C241" t="s">
        <v>9</v>
      </c>
      <c r="D241" t="s">
        <v>15</v>
      </c>
      <c r="E241" t="s">
        <v>21</v>
      </c>
      <c r="F241" t="s">
        <v>25</v>
      </c>
      <c r="G241">
        <v>8</v>
      </c>
      <c r="H241" s="4">
        <v>180</v>
      </c>
      <c r="I241" s="4">
        <v>1440</v>
      </c>
      <c r="J241" t="str">
        <f>IF(Table1[[#This Row],[Revenue (£)]]&lt;500, "small", IF(Table1[[#This Row],[Revenue (£)]]&lt;2000, "medium", "Large"))</f>
        <v>medium</v>
      </c>
    </row>
    <row r="242" spans="1:10" x14ac:dyDescent="0.3">
      <c r="A242">
        <v>10241</v>
      </c>
      <c r="B242" s="2">
        <v>45210</v>
      </c>
      <c r="C242" t="s">
        <v>9</v>
      </c>
      <c r="D242" t="s">
        <v>16</v>
      </c>
      <c r="E242" t="s">
        <v>23</v>
      </c>
      <c r="F242" t="s">
        <v>26</v>
      </c>
      <c r="G242">
        <v>1</v>
      </c>
      <c r="H242" s="4">
        <v>850</v>
      </c>
      <c r="I242" s="4">
        <v>850</v>
      </c>
      <c r="J242" t="str">
        <f>IF(Table1[[#This Row],[Revenue (£)]]&lt;500, "small", IF(Table1[[#This Row],[Revenue (£)]]&lt;2000, "medium", "Large"))</f>
        <v>medium</v>
      </c>
    </row>
    <row r="243" spans="1:10" x14ac:dyDescent="0.3">
      <c r="A243">
        <v>10242</v>
      </c>
      <c r="B243" s="2">
        <v>45407</v>
      </c>
      <c r="C243" t="s">
        <v>13</v>
      </c>
      <c r="D243" t="s">
        <v>17</v>
      </c>
      <c r="E243" t="s">
        <v>23</v>
      </c>
      <c r="F243" t="s">
        <v>26</v>
      </c>
      <c r="G243">
        <v>3</v>
      </c>
      <c r="H243" s="4">
        <v>850</v>
      </c>
      <c r="I243" s="4">
        <v>2550</v>
      </c>
      <c r="J243" t="str">
        <f>IF(Table1[[#This Row],[Revenue (£)]]&lt;500, "small", IF(Table1[[#This Row],[Revenue (£)]]&lt;2000, "medium", "Large"))</f>
        <v>Large</v>
      </c>
    </row>
    <row r="244" spans="1:10" x14ac:dyDescent="0.3">
      <c r="A244">
        <v>10243</v>
      </c>
      <c r="B244" s="2">
        <v>45379</v>
      </c>
      <c r="C244" t="s">
        <v>10</v>
      </c>
      <c r="D244" t="s">
        <v>14</v>
      </c>
      <c r="E244" t="s">
        <v>19</v>
      </c>
      <c r="F244" t="s">
        <v>25</v>
      </c>
      <c r="G244">
        <v>13</v>
      </c>
      <c r="H244" s="4">
        <v>75</v>
      </c>
      <c r="I244" s="4">
        <v>975</v>
      </c>
      <c r="J244" t="str">
        <f>IF(Table1[[#This Row],[Revenue (£)]]&lt;500, "small", IF(Table1[[#This Row],[Revenue (£)]]&lt;2000, "medium", "Large"))</f>
        <v>medium</v>
      </c>
    </row>
    <row r="245" spans="1:10" x14ac:dyDescent="0.3">
      <c r="A245">
        <v>10244</v>
      </c>
      <c r="B245" s="2">
        <v>45442</v>
      </c>
      <c r="C245" t="s">
        <v>9</v>
      </c>
      <c r="D245" t="s">
        <v>15</v>
      </c>
      <c r="E245" t="s">
        <v>19</v>
      </c>
      <c r="F245" t="s">
        <v>25</v>
      </c>
      <c r="G245">
        <v>4</v>
      </c>
      <c r="H245" s="4">
        <v>75</v>
      </c>
      <c r="I245" s="4">
        <v>300</v>
      </c>
      <c r="J245" t="str">
        <f>IF(Table1[[#This Row],[Revenue (£)]]&lt;500, "small", IF(Table1[[#This Row],[Revenue (£)]]&lt;2000, "medium", "Large"))</f>
        <v>small</v>
      </c>
    </row>
    <row r="246" spans="1:10" x14ac:dyDescent="0.3">
      <c r="A246">
        <v>10245</v>
      </c>
      <c r="B246" s="2">
        <v>45473</v>
      </c>
      <c r="C246" t="s">
        <v>10</v>
      </c>
      <c r="D246" t="s">
        <v>18</v>
      </c>
      <c r="E246" t="s">
        <v>22</v>
      </c>
      <c r="F246" t="s">
        <v>25</v>
      </c>
      <c r="G246">
        <v>8</v>
      </c>
      <c r="H246" s="4">
        <v>45</v>
      </c>
      <c r="I246" s="4">
        <v>360</v>
      </c>
      <c r="J246" t="str">
        <f>IF(Table1[[#This Row],[Revenue (£)]]&lt;500, "small", IF(Table1[[#This Row],[Revenue (£)]]&lt;2000, "medium", "Large"))</f>
        <v>small</v>
      </c>
    </row>
    <row r="247" spans="1:10" x14ac:dyDescent="0.3">
      <c r="A247">
        <v>10246</v>
      </c>
      <c r="B247" s="2">
        <v>45118</v>
      </c>
      <c r="C247" t="s">
        <v>10</v>
      </c>
      <c r="D247" t="s">
        <v>15</v>
      </c>
      <c r="E247" t="s">
        <v>19</v>
      </c>
      <c r="F247" t="s">
        <v>25</v>
      </c>
      <c r="G247">
        <v>6</v>
      </c>
      <c r="H247" s="4">
        <v>75</v>
      </c>
      <c r="I247" s="4">
        <v>450</v>
      </c>
      <c r="J247" t="str">
        <f>IF(Table1[[#This Row],[Revenue (£)]]&lt;500, "small", IF(Table1[[#This Row],[Revenue (£)]]&lt;2000, "medium", "Large"))</f>
        <v>small</v>
      </c>
    </row>
    <row r="248" spans="1:10" x14ac:dyDescent="0.3">
      <c r="A248">
        <v>10247</v>
      </c>
      <c r="B248" s="2">
        <v>44975</v>
      </c>
      <c r="C248" t="s">
        <v>10</v>
      </c>
      <c r="D248" t="s">
        <v>18</v>
      </c>
      <c r="E248" t="s">
        <v>24</v>
      </c>
      <c r="F248" t="s">
        <v>25</v>
      </c>
      <c r="G248">
        <v>14</v>
      </c>
      <c r="H248" s="4">
        <v>30</v>
      </c>
      <c r="I248" s="4">
        <v>420</v>
      </c>
      <c r="J248" t="str">
        <f>IF(Table1[[#This Row],[Revenue (£)]]&lt;500, "small", IF(Table1[[#This Row],[Revenue (£)]]&lt;2000, "medium", "Large"))</f>
        <v>small</v>
      </c>
    </row>
    <row r="249" spans="1:10" x14ac:dyDescent="0.3">
      <c r="A249">
        <v>10248</v>
      </c>
      <c r="B249" s="2">
        <v>45438</v>
      </c>
      <c r="C249" t="s">
        <v>12</v>
      </c>
      <c r="D249" t="s">
        <v>15</v>
      </c>
      <c r="E249" t="s">
        <v>20</v>
      </c>
      <c r="F249" t="s">
        <v>26</v>
      </c>
      <c r="G249">
        <v>10</v>
      </c>
      <c r="H249" s="4">
        <v>220</v>
      </c>
      <c r="I249" s="4">
        <v>2200</v>
      </c>
      <c r="J249" t="str">
        <f>IF(Table1[[#This Row],[Revenue (£)]]&lt;500, "small", IF(Table1[[#This Row],[Revenue (£)]]&lt;2000, "medium", "Large"))</f>
        <v>Large</v>
      </c>
    </row>
    <row r="250" spans="1:10" x14ac:dyDescent="0.3">
      <c r="A250">
        <v>10249</v>
      </c>
      <c r="B250" s="2">
        <v>44943</v>
      </c>
      <c r="C250" t="s">
        <v>10</v>
      </c>
      <c r="D250" t="s">
        <v>18</v>
      </c>
      <c r="E250" t="s">
        <v>20</v>
      </c>
      <c r="F250" t="s">
        <v>26</v>
      </c>
      <c r="G250">
        <v>12</v>
      </c>
      <c r="H250" s="4">
        <v>220</v>
      </c>
      <c r="I250" s="4">
        <v>2640</v>
      </c>
      <c r="J250" t="str">
        <f>IF(Table1[[#This Row],[Revenue (£)]]&lt;500, "small", IF(Table1[[#This Row],[Revenue (£)]]&lt;2000, "medium", "Large"))</f>
        <v>Large</v>
      </c>
    </row>
    <row r="251" spans="1:10" x14ac:dyDescent="0.3">
      <c r="A251">
        <v>10250</v>
      </c>
      <c r="B251" s="2">
        <v>45098</v>
      </c>
      <c r="C251" t="s">
        <v>12</v>
      </c>
      <c r="D251" t="s">
        <v>16</v>
      </c>
      <c r="E251" t="s">
        <v>21</v>
      </c>
      <c r="F251" t="s">
        <v>25</v>
      </c>
      <c r="G251">
        <v>7</v>
      </c>
      <c r="H251" s="4">
        <v>180</v>
      </c>
      <c r="I251" s="4">
        <v>1260</v>
      </c>
      <c r="J251" t="str">
        <f>IF(Table1[[#This Row],[Revenue (£)]]&lt;500, "small", IF(Table1[[#This Row],[Revenue (£)]]&lt;2000, "medium", "Large"))</f>
        <v>medium</v>
      </c>
    </row>
    <row r="252" spans="1:10" x14ac:dyDescent="0.3">
      <c r="A252">
        <v>10251</v>
      </c>
      <c r="B252" s="2">
        <v>45146</v>
      </c>
      <c r="C252" t="s">
        <v>13</v>
      </c>
      <c r="D252" t="s">
        <v>18</v>
      </c>
      <c r="E252" t="s">
        <v>21</v>
      </c>
      <c r="F252" t="s">
        <v>25</v>
      </c>
      <c r="G252">
        <v>14</v>
      </c>
      <c r="H252" s="4">
        <v>180</v>
      </c>
      <c r="I252" s="4">
        <v>2520</v>
      </c>
      <c r="J252" t="str">
        <f>IF(Table1[[#This Row],[Revenue (£)]]&lt;500, "small", IF(Table1[[#This Row],[Revenue (£)]]&lt;2000, "medium", "Large"))</f>
        <v>Large</v>
      </c>
    </row>
    <row r="253" spans="1:10" x14ac:dyDescent="0.3">
      <c r="A253">
        <v>10252</v>
      </c>
      <c r="B253" s="2">
        <v>45084</v>
      </c>
      <c r="C253" t="s">
        <v>9</v>
      </c>
      <c r="D253" t="s">
        <v>18</v>
      </c>
      <c r="E253" t="s">
        <v>20</v>
      </c>
      <c r="F253" t="s">
        <v>26</v>
      </c>
      <c r="G253">
        <v>8</v>
      </c>
      <c r="H253" s="4">
        <v>220</v>
      </c>
      <c r="I253" s="4">
        <v>1760</v>
      </c>
      <c r="J253" t="str">
        <f>IF(Table1[[#This Row],[Revenue (£)]]&lt;500, "small", IF(Table1[[#This Row],[Revenue (£)]]&lt;2000, "medium", "Large"))</f>
        <v>medium</v>
      </c>
    </row>
    <row r="254" spans="1:10" x14ac:dyDescent="0.3">
      <c r="A254">
        <v>10253</v>
      </c>
      <c r="B254" s="2">
        <v>45403</v>
      </c>
      <c r="C254" t="s">
        <v>9</v>
      </c>
      <c r="D254" t="s">
        <v>17</v>
      </c>
      <c r="E254" t="s">
        <v>21</v>
      </c>
      <c r="F254" t="s">
        <v>25</v>
      </c>
      <c r="G254">
        <v>2</v>
      </c>
      <c r="H254" s="4">
        <v>180</v>
      </c>
      <c r="I254" s="4">
        <v>360</v>
      </c>
      <c r="J254" t="str">
        <f>IF(Table1[[#This Row],[Revenue (£)]]&lt;500, "small", IF(Table1[[#This Row],[Revenue (£)]]&lt;2000, "medium", "Large"))</f>
        <v>small</v>
      </c>
    </row>
    <row r="255" spans="1:10" x14ac:dyDescent="0.3">
      <c r="A255">
        <v>10254</v>
      </c>
      <c r="B255" s="2">
        <v>44972</v>
      </c>
      <c r="C255" t="s">
        <v>9</v>
      </c>
      <c r="D255" t="s">
        <v>18</v>
      </c>
      <c r="E255" t="s">
        <v>22</v>
      </c>
      <c r="F255" t="s">
        <v>25</v>
      </c>
      <c r="G255">
        <v>13</v>
      </c>
      <c r="H255" s="4">
        <v>45</v>
      </c>
      <c r="I255" s="4">
        <v>585</v>
      </c>
      <c r="J255" t="str">
        <f>IF(Table1[[#This Row],[Revenue (£)]]&lt;500, "small", IF(Table1[[#This Row],[Revenue (£)]]&lt;2000, "medium", "Large"))</f>
        <v>medium</v>
      </c>
    </row>
    <row r="256" spans="1:10" x14ac:dyDescent="0.3">
      <c r="A256">
        <v>10255</v>
      </c>
      <c r="B256" s="2">
        <v>45299</v>
      </c>
      <c r="C256" t="s">
        <v>9</v>
      </c>
      <c r="D256" t="s">
        <v>17</v>
      </c>
      <c r="E256" t="s">
        <v>19</v>
      </c>
      <c r="F256" t="s">
        <v>25</v>
      </c>
      <c r="G256">
        <v>10</v>
      </c>
      <c r="H256" s="4">
        <v>75</v>
      </c>
      <c r="I256" s="4">
        <v>750</v>
      </c>
      <c r="J256" t="str">
        <f>IF(Table1[[#This Row],[Revenue (£)]]&lt;500, "small", IF(Table1[[#This Row],[Revenue (£)]]&lt;2000, "medium", "Large"))</f>
        <v>medium</v>
      </c>
    </row>
    <row r="257" spans="1:10" x14ac:dyDescent="0.3">
      <c r="A257">
        <v>10256</v>
      </c>
      <c r="B257" s="2">
        <v>45444</v>
      </c>
      <c r="C257" t="s">
        <v>9</v>
      </c>
      <c r="D257" t="s">
        <v>14</v>
      </c>
      <c r="E257" t="s">
        <v>20</v>
      </c>
      <c r="F257" t="s">
        <v>26</v>
      </c>
      <c r="G257">
        <v>14</v>
      </c>
      <c r="H257" s="4">
        <v>220</v>
      </c>
      <c r="I257" s="4">
        <v>3080</v>
      </c>
      <c r="J257" t="str">
        <f>IF(Table1[[#This Row],[Revenue (£)]]&lt;500, "small", IF(Table1[[#This Row],[Revenue (£)]]&lt;2000, "medium", "Large"))</f>
        <v>Large</v>
      </c>
    </row>
    <row r="258" spans="1:10" x14ac:dyDescent="0.3">
      <c r="A258">
        <v>10257</v>
      </c>
      <c r="B258" s="2">
        <v>45025</v>
      </c>
      <c r="C258" t="s">
        <v>9</v>
      </c>
      <c r="D258" t="s">
        <v>17</v>
      </c>
      <c r="E258" t="s">
        <v>21</v>
      </c>
      <c r="F258" t="s">
        <v>25</v>
      </c>
      <c r="G258">
        <v>11</v>
      </c>
      <c r="H258" s="4">
        <v>180</v>
      </c>
      <c r="I258" s="4">
        <v>1980</v>
      </c>
      <c r="J258" t="str">
        <f>IF(Table1[[#This Row],[Revenue (£)]]&lt;500, "small", IF(Table1[[#This Row],[Revenue (£)]]&lt;2000, "medium", "Large"))</f>
        <v>medium</v>
      </c>
    </row>
    <row r="259" spans="1:10" x14ac:dyDescent="0.3">
      <c r="A259">
        <v>10258</v>
      </c>
      <c r="B259" s="2">
        <v>44963</v>
      </c>
      <c r="C259" t="s">
        <v>9</v>
      </c>
      <c r="D259" t="s">
        <v>16</v>
      </c>
      <c r="E259" t="s">
        <v>20</v>
      </c>
      <c r="F259" t="s">
        <v>26</v>
      </c>
      <c r="G259">
        <v>8</v>
      </c>
      <c r="H259" s="4">
        <v>220</v>
      </c>
      <c r="I259" s="4">
        <v>1760</v>
      </c>
      <c r="J259" t="str">
        <f>IF(Table1[[#This Row],[Revenue (£)]]&lt;500, "small", IF(Table1[[#This Row],[Revenue (£)]]&lt;2000, "medium", "Large"))</f>
        <v>medium</v>
      </c>
    </row>
    <row r="260" spans="1:10" x14ac:dyDescent="0.3">
      <c r="A260">
        <v>10259</v>
      </c>
      <c r="B260" s="2">
        <v>45206</v>
      </c>
      <c r="C260" t="s">
        <v>13</v>
      </c>
      <c r="D260" t="s">
        <v>17</v>
      </c>
      <c r="E260" t="s">
        <v>24</v>
      </c>
      <c r="F260" t="s">
        <v>25</v>
      </c>
      <c r="G260">
        <v>3</v>
      </c>
      <c r="H260" s="4">
        <v>30</v>
      </c>
      <c r="I260" s="4">
        <v>90</v>
      </c>
      <c r="J260" t="str">
        <f>IF(Table1[[#This Row],[Revenue (£)]]&lt;500, "small", IF(Table1[[#This Row],[Revenue (£)]]&lt;2000, "medium", "Large"))</f>
        <v>small</v>
      </c>
    </row>
    <row r="261" spans="1:10" x14ac:dyDescent="0.3">
      <c r="A261">
        <v>10260</v>
      </c>
      <c r="B261" s="2">
        <v>45275</v>
      </c>
      <c r="C261" t="s">
        <v>10</v>
      </c>
      <c r="D261" t="s">
        <v>14</v>
      </c>
      <c r="E261" t="s">
        <v>23</v>
      </c>
      <c r="F261" t="s">
        <v>26</v>
      </c>
      <c r="G261">
        <v>7</v>
      </c>
      <c r="H261" s="4">
        <v>850</v>
      </c>
      <c r="I261" s="4">
        <v>5950</v>
      </c>
      <c r="J261" t="str">
        <f>IF(Table1[[#This Row],[Revenue (£)]]&lt;500, "small", IF(Table1[[#This Row],[Revenue (£)]]&lt;2000, "medium", "Large"))</f>
        <v>Large</v>
      </c>
    </row>
    <row r="262" spans="1:10" x14ac:dyDescent="0.3">
      <c r="A262">
        <v>10261</v>
      </c>
      <c r="B262" s="2">
        <v>45423</v>
      </c>
      <c r="C262" t="s">
        <v>11</v>
      </c>
      <c r="D262" t="s">
        <v>16</v>
      </c>
      <c r="E262" t="s">
        <v>19</v>
      </c>
      <c r="F262" t="s">
        <v>25</v>
      </c>
      <c r="G262">
        <v>3</v>
      </c>
      <c r="H262" s="4">
        <v>75</v>
      </c>
      <c r="I262" s="4">
        <v>225</v>
      </c>
      <c r="J262" t="str">
        <f>IF(Table1[[#This Row],[Revenue (£)]]&lt;500, "small", IF(Table1[[#This Row],[Revenue (£)]]&lt;2000, "medium", "Large"))</f>
        <v>small</v>
      </c>
    </row>
    <row r="263" spans="1:10" x14ac:dyDescent="0.3">
      <c r="A263">
        <v>10262</v>
      </c>
      <c r="B263" s="2">
        <v>45228</v>
      </c>
      <c r="C263" t="s">
        <v>12</v>
      </c>
      <c r="D263" t="s">
        <v>15</v>
      </c>
      <c r="E263" t="s">
        <v>20</v>
      </c>
      <c r="F263" t="s">
        <v>26</v>
      </c>
      <c r="G263">
        <v>7</v>
      </c>
      <c r="H263" s="4">
        <v>220</v>
      </c>
      <c r="I263" s="4">
        <v>1540</v>
      </c>
      <c r="J263" t="str">
        <f>IF(Table1[[#This Row],[Revenue (£)]]&lt;500, "small", IF(Table1[[#This Row],[Revenue (£)]]&lt;2000, "medium", "Large"))</f>
        <v>medium</v>
      </c>
    </row>
    <row r="264" spans="1:10" x14ac:dyDescent="0.3">
      <c r="A264">
        <v>10263</v>
      </c>
      <c r="B264" s="2">
        <v>45107</v>
      </c>
      <c r="C264" t="s">
        <v>11</v>
      </c>
      <c r="D264" t="s">
        <v>15</v>
      </c>
      <c r="E264" t="s">
        <v>23</v>
      </c>
      <c r="F264" t="s">
        <v>26</v>
      </c>
      <c r="G264">
        <v>14</v>
      </c>
      <c r="H264" s="4">
        <v>850</v>
      </c>
      <c r="I264" s="4">
        <v>11900</v>
      </c>
      <c r="J264" t="str">
        <f>IF(Table1[[#This Row],[Revenue (£)]]&lt;500, "small", IF(Table1[[#This Row],[Revenue (£)]]&lt;2000, "medium", "Large"))</f>
        <v>Large</v>
      </c>
    </row>
    <row r="265" spans="1:10" x14ac:dyDescent="0.3">
      <c r="A265">
        <v>10264</v>
      </c>
      <c r="B265" s="2">
        <v>45025</v>
      </c>
      <c r="C265" t="s">
        <v>11</v>
      </c>
      <c r="D265" t="s">
        <v>17</v>
      </c>
      <c r="E265" t="s">
        <v>21</v>
      </c>
      <c r="F265" t="s">
        <v>25</v>
      </c>
      <c r="G265">
        <v>11</v>
      </c>
      <c r="H265" s="4">
        <v>180</v>
      </c>
      <c r="I265" s="4">
        <v>1980</v>
      </c>
      <c r="J265" t="str">
        <f>IF(Table1[[#This Row],[Revenue (£)]]&lt;500, "small", IF(Table1[[#This Row],[Revenue (£)]]&lt;2000, "medium", "Large"))</f>
        <v>medium</v>
      </c>
    </row>
    <row r="266" spans="1:10" x14ac:dyDescent="0.3">
      <c r="A266">
        <v>10265</v>
      </c>
      <c r="B266" s="2">
        <v>45042</v>
      </c>
      <c r="C266" t="s">
        <v>10</v>
      </c>
      <c r="D266" t="s">
        <v>17</v>
      </c>
      <c r="E266" t="s">
        <v>23</v>
      </c>
      <c r="F266" t="s">
        <v>26</v>
      </c>
      <c r="G266">
        <v>12</v>
      </c>
      <c r="H266" s="4">
        <v>850</v>
      </c>
      <c r="I266" s="4">
        <v>10200</v>
      </c>
      <c r="J266" t="str">
        <f>IF(Table1[[#This Row],[Revenue (£)]]&lt;500, "small", IF(Table1[[#This Row],[Revenue (£)]]&lt;2000, "medium", "Large"))</f>
        <v>Large</v>
      </c>
    </row>
    <row r="267" spans="1:10" x14ac:dyDescent="0.3">
      <c r="A267">
        <v>10266</v>
      </c>
      <c r="B267" s="2">
        <v>45117</v>
      </c>
      <c r="C267" t="s">
        <v>10</v>
      </c>
      <c r="D267" t="s">
        <v>14</v>
      </c>
      <c r="E267" t="s">
        <v>19</v>
      </c>
      <c r="F267" t="s">
        <v>25</v>
      </c>
      <c r="G267">
        <v>13</v>
      </c>
      <c r="H267" s="4">
        <v>75</v>
      </c>
      <c r="I267" s="4">
        <v>975</v>
      </c>
      <c r="J267" t="str">
        <f>IF(Table1[[#This Row],[Revenue (£)]]&lt;500, "small", IF(Table1[[#This Row],[Revenue (£)]]&lt;2000, "medium", "Large"))</f>
        <v>medium</v>
      </c>
    </row>
    <row r="268" spans="1:10" x14ac:dyDescent="0.3">
      <c r="A268">
        <v>10267</v>
      </c>
      <c r="B268" s="2">
        <v>45179</v>
      </c>
      <c r="C268" t="s">
        <v>10</v>
      </c>
      <c r="D268" t="s">
        <v>14</v>
      </c>
      <c r="E268" t="s">
        <v>20</v>
      </c>
      <c r="F268" t="s">
        <v>26</v>
      </c>
      <c r="G268">
        <v>2</v>
      </c>
      <c r="H268" s="4">
        <v>220</v>
      </c>
      <c r="I268" s="4">
        <v>440</v>
      </c>
      <c r="J268" t="str">
        <f>IF(Table1[[#This Row],[Revenue (£)]]&lt;500, "small", IF(Table1[[#This Row],[Revenue (£)]]&lt;2000, "medium", "Large"))</f>
        <v>small</v>
      </c>
    </row>
    <row r="269" spans="1:10" x14ac:dyDescent="0.3">
      <c r="A269">
        <v>10268</v>
      </c>
      <c r="B269" s="2">
        <v>45087</v>
      </c>
      <c r="C269" t="s">
        <v>9</v>
      </c>
      <c r="D269" t="s">
        <v>18</v>
      </c>
      <c r="E269" t="s">
        <v>24</v>
      </c>
      <c r="F269" t="s">
        <v>25</v>
      </c>
      <c r="G269">
        <v>10</v>
      </c>
      <c r="H269" s="4">
        <v>30</v>
      </c>
      <c r="I269" s="4">
        <v>300</v>
      </c>
      <c r="J269" t="str">
        <f>IF(Table1[[#This Row],[Revenue (£)]]&lt;500, "small", IF(Table1[[#This Row],[Revenue (£)]]&lt;2000, "medium", "Large"))</f>
        <v>small</v>
      </c>
    </row>
    <row r="270" spans="1:10" x14ac:dyDescent="0.3">
      <c r="A270">
        <v>10269</v>
      </c>
      <c r="B270" s="2">
        <v>45182</v>
      </c>
      <c r="C270" t="s">
        <v>13</v>
      </c>
      <c r="D270" t="s">
        <v>14</v>
      </c>
      <c r="E270" t="s">
        <v>21</v>
      </c>
      <c r="F270" t="s">
        <v>25</v>
      </c>
      <c r="G270">
        <v>6</v>
      </c>
      <c r="H270" s="4">
        <v>180</v>
      </c>
      <c r="I270" s="4">
        <v>1080</v>
      </c>
      <c r="J270" t="str">
        <f>IF(Table1[[#This Row],[Revenue (£)]]&lt;500, "small", IF(Table1[[#This Row],[Revenue (£)]]&lt;2000, "medium", "Large"))</f>
        <v>medium</v>
      </c>
    </row>
    <row r="271" spans="1:10" x14ac:dyDescent="0.3">
      <c r="A271">
        <v>10270</v>
      </c>
      <c r="B271" s="2">
        <v>45249</v>
      </c>
      <c r="C271" t="s">
        <v>9</v>
      </c>
      <c r="D271" t="s">
        <v>18</v>
      </c>
      <c r="E271" t="s">
        <v>20</v>
      </c>
      <c r="F271" t="s">
        <v>26</v>
      </c>
      <c r="G271">
        <v>3</v>
      </c>
      <c r="H271" s="4">
        <v>220</v>
      </c>
      <c r="I271" s="4">
        <v>660</v>
      </c>
      <c r="J271" t="str">
        <f>IF(Table1[[#This Row],[Revenue (£)]]&lt;500, "small", IF(Table1[[#This Row],[Revenue (£)]]&lt;2000, "medium", "Large"))</f>
        <v>medium</v>
      </c>
    </row>
    <row r="272" spans="1:10" x14ac:dyDescent="0.3">
      <c r="A272">
        <v>10271</v>
      </c>
      <c r="B272" s="2">
        <v>45054</v>
      </c>
      <c r="C272" t="s">
        <v>13</v>
      </c>
      <c r="D272" t="s">
        <v>16</v>
      </c>
      <c r="E272" t="s">
        <v>19</v>
      </c>
      <c r="F272" t="s">
        <v>25</v>
      </c>
      <c r="G272">
        <v>3</v>
      </c>
      <c r="H272" s="4">
        <v>75</v>
      </c>
      <c r="I272" s="4">
        <v>225</v>
      </c>
      <c r="J272" t="str">
        <f>IF(Table1[[#This Row],[Revenue (£)]]&lt;500, "small", IF(Table1[[#This Row],[Revenue (£)]]&lt;2000, "medium", "Large"))</f>
        <v>small</v>
      </c>
    </row>
    <row r="273" spans="1:10" x14ac:dyDescent="0.3">
      <c r="A273">
        <v>10272</v>
      </c>
      <c r="B273" s="2">
        <v>44944</v>
      </c>
      <c r="C273" t="s">
        <v>13</v>
      </c>
      <c r="D273" t="s">
        <v>17</v>
      </c>
      <c r="E273" t="s">
        <v>21</v>
      </c>
      <c r="F273" t="s">
        <v>25</v>
      </c>
      <c r="G273">
        <v>9</v>
      </c>
      <c r="H273" s="4">
        <v>180</v>
      </c>
      <c r="I273" s="4">
        <v>1620</v>
      </c>
      <c r="J273" t="str">
        <f>IF(Table1[[#This Row],[Revenue (£)]]&lt;500, "small", IF(Table1[[#This Row],[Revenue (£)]]&lt;2000, "medium", "Large"))</f>
        <v>medium</v>
      </c>
    </row>
    <row r="274" spans="1:10" x14ac:dyDescent="0.3">
      <c r="A274">
        <v>10273</v>
      </c>
      <c r="B274" s="2">
        <v>45249</v>
      </c>
      <c r="C274" t="s">
        <v>11</v>
      </c>
      <c r="D274" t="s">
        <v>16</v>
      </c>
      <c r="E274" t="s">
        <v>22</v>
      </c>
      <c r="F274" t="s">
        <v>25</v>
      </c>
      <c r="G274">
        <v>7</v>
      </c>
      <c r="H274" s="4">
        <v>45</v>
      </c>
      <c r="I274" s="4">
        <v>315</v>
      </c>
      <c r="J274" t="str">
        <f>IF(Table1[[#This Row],[Revenue (£)]]&lt;500, "small", IF(Table1[[#This Row],[Revenue (£)]]&lt;2000, "medium", "Large"))</f>
        <v>small</v>
      </c>
    </row>
    <row r="275" spans="1:10" x14ac:dyDescent="0.3">
      <c r="A275">
        <v>10274</v>
      </c>
      <c r="B275" s="2">
        <v>45214</v>
      </c>
      <c r="C275" t="s">
        <v>11</v>
      </c>
      <c r="D275" t="s">
        <v>14</v>
      </c>
      <c r="E275" t="s">
        <v>23</v>
      </c>
      <c r="F275" t="s">
        <v>26</v>
      </c>
      <c r="G275">
        <v>5</v>
      </c>
      <c r="H275" s="4">
        <v>850</v>
      </c>
      <c r="I275" s="4">
        <v>4250</v>
      </c>
      <c r="J275" t="str">
        <f>IF(Table1[[#This Row],[Revenue (£)]]&lt;500, "small", IF(Table1[[#This Row],[Revenue (£)]]&lt;2000, "medium", "Large"))</f>
        <v>Large</v>
      </c>
    </row>
    <row r="276" spans="1:10" x14ac:dyDescent="0.3">
      <c r="A276">
        <v>10275</v>
      </c>
      <c r="B276" s="2">
        <v>45081</v>
      </c>
      <c r="C276" t="s">
        <v>13</v>
      </c>
      <c r="D276" t="s">
        <v>16</v>
      </c>
      <c r="E276" t="s">
        <v>19</v>
      </c>
      <c r="F276" t="s">
        <v>25</v>
      </c>
      <c r="G276">
        <v>12</v>
      </c>
      <c r="H276" s="4">
        <v>75</v>
      </c>
      <c r="I276" s="4">
        <v>900</v>
      </c>
      <c r="J276" t="str">
        <f>IF(Table1[[#This Row],[Revenue (£)]]&lt;500, "small", IF(Table1[[#This Row],[Revenue (£)]]&lt;2000, "medium", "Large"))</f>
        <v>medium</v>
      </c>
    </row>
    <row r="277" spans="1:10" x14ac:dyDescent="0.3">
      <c r="A277">
        <v>10276</v>
      </c>
      <c r="B277" s="2">
        <v>45416</v>
      </c>
      <c r="C277" t="s">
        <v>13</v>
      </c>
      <c r="D277" t="s">
        <v>16</v>
      </c>
      <c r="E277" t="s">
        <v>22</v>
      </c>
      <c r="F277" t="s">
        <v>25</v>
      </c>
      <c r="G277">
        <v>10</v>
      </c>
      <c r="H277" s="4">
        <v>45</v>
      </c>
      <c r="I277" s="4">
        <v>450</v>
      </c>
      <c r="J277" t="str">
        <f>IF(Table1[[#This Row],[Revenue (£)]]&lt;500, "small", IF(Table1[[#This Row],[Revenue (£)]]&lt;2000, "medium", "Large"))</f>
        <v>small</v>
      </c>
    </row>
    <row r="278" spans="1:10" x14ac:dyDescent="0.3">
      <c r="A278">
        <v>10277</v>
      </c>
      <c r="B278" s="2">
        <v>45312</v>
      </c>
      <c r="C278" t="s">
        <v>9</v>
      </c>
      <c r="D278" t="s">
        <v>16</v>
      </c>
      <c r="E278" t="s">
        <v>20</v>
      </c>
      <c r="F278" t="s">
        <v>26</v>
      </c>
      <c r="G278">
        <v>7</v>
      </c>
      <c r="H278" s="4">
        <v>220</v>
      </c>
      <c r="I278" s="4">
        <v>1540</v>
      </c>
      <c r="J278" t="str">
        <f>IF(Table1[[#This Row],[Revenue (£)]]&lt;500, "small", IF(Table1[[#This Row],[Revenue (£)]]&lt;2000, "medium", "Large"))</f>
        <v>medium</v>
      </c>
    </row>
    <row r="279" spans="1:10" x14ac:dyDescent="0.3">
      <c r="A279">
        <v>10278</v>
      </c>
      <c r="B279" s="2">
        <v>45030</v>
      </c>
      <c r="C279" t="s">
        <v>9</v>
      </c>
      <c r="D279" t="s">
        <v>14</v>
      </c>
      <c r="E279" t="s">
        <v>24</v>
      </c>
      <c r="F279" t="s">
        <v>25</v>
      </c>
      <c r="G279">
        <v>9</v>
      </c>
      <c r="H279" s="4">
        <v>30</v>
      </c>
      <c r="I279" s="4">
        <v>270</v>
      </c>
      <c r="J279" t="str">
        <f>IF(Table1[[#This Row],[Revenue (£)]]&lt;500, "small", IF(Table1[[#This Row],[Revenue (£)]]&lt;2000, "medium", "Large"))</f>
        <v>small</v>
      </c>
    </row>
    <row r="280" spans="1:10" x14ac:dyDescent="0.3">
      <c r="A280">
        <v>10279</v>
      </c>
      <c r="B280" s="2">
        <v>45319</v>
      </c>
      <c r="C280" t="s">
        <v>11</v>
      </c>
      <c r="D280" t="s">
        <v>16</v>
      </c>
      <c r="E280" t="s">
        <v>21</v>
      </c>
      <c r="F280" t="s">
        <v>25</v>
      </c>
      <c r="G280">
        <v>1</v>
      </c>
      <c r="H280" s="4">
        <v>180</v>
      </c>
      <c r="I280" s="4">
        <v>180</v>
      </c>
      <c r="J280" t="str">
        <f>IF(Table1[[#This Row],[Revenue (£)]]&lt;500, "small", IF(Table1[[#This Row],[Revenue (£)]]&lt;2000, "medium", "Large"))</f>
        <v>small</v>
      </c>
    </row>
    <row r="281" spans="1:10" x14ac:dyDescent="0.3">
      <c r="A281">
        <v>10280</v>
      </c>
      <c r="B281" s="2">
        <v>45172</v>
      </c>
      <c r="C281" t="s">
        <v>10</v>
      </c>
      <c r="D281" t="s">
        <v>18</v>
      </c>
      <c r="E281" t="s">
        <v>23</v>
      </c>
      <c r="F281" t="s">
        <v>26</v>
      </c>
      <c r="G281">
        <v>7</v>
      </c>
      <c r="H281" s="4">
        <v>850</v>
      </c>
      <c r="I281" s="4">
        <v>5950</v>
      </c>
      <c r="J281" t="str">
        <f>IF(Table1[[#This Row],[Revenue (£)]]&lt;500, "small", IF(Table1[[#This Row],[Revenue (£)]]&lt;2000, "medium", "Large"))</f>
        <v>Large</v>
      </c>
    </row>
    <row r="282" spans="1:10" x14ac:dyDescent="0.3">
      <c r="A282">
        <v>10281</v>
      </c>
      <c r="B282" s="2">
        <v>45102</v>
      </c>
      <c r="C282" t="s">
        <v>13</v>
      </c>
      <c r="D282" t="s">
        <v>14</v>
      </c>
      <c r="E282" t="s">
        <v>21</v>
      </c>
      <c r="F282" t="s">
        <v>25</v>
      </c>
      <c r="G282">
        <v>6</v>
      </c>
      <c r="H282" s="4">
        <v>180</v>
      </c>
      <c r="I282" s="4">
        <v>1080</v>
      </c>
      <c r="J282" t="str">
        <f>IF(Table1[[#This Row],[Revenue (£)]]&lt;500, "small", IF(Table1[[#This Row],[Revenue (£)]]&lt;2000, "medium", "Large"))</f>
        <v>medium</v>
      </c>
    </row>
    <row r="283" spans="1:10" x14ac:dyDescent="0.3">
      <c r="A283">
        <v>10282</v>
      </c>
      <c r="B283" s="2">
        <v>44965</v>
      </c>
      <c r="C283" t="s">
        <v>9</v>
      </c>
      <c r="D283" t="s">
        <v>16</v>
      </c>
      <c r="E283" t="s">
        <v>20</v>
      </c>
      <c r="F283" t="s">
        <v>26</v>
      </c>
      <c r="G283">
        <v>10</v>
      </c>
      <c r="H283" s="4">
        <v>220</v>
      </c>
      <c r="I283" s="4">
        <v>2200</v>
      </c>
      <c r="J283" t="str">
        <f>IF(Table1[[#This Row],[Revenue (£)]]&lt;500, "small", IF(Table1[[#This Row],[Revenue (£)]]&lt;2000, "medium", "Large"))</f>
        <v>Large</v>
      </c>
    </row>
    <row r="284" spans="1:10" x14ac:dyDescent="0.3">
      <c r="A284">
        <v>10283</v>
      </c>
      <c r="B284" s="2">
        <v>45403</v>
      </c>
      <c r="C284" t="s">
        <v>11</v>
      </c>
      <c r="D284" t="s">
        <v>14</v>
      </c>
      <c r="E284" t="s">
        <v>21</v>
      </c>
      <c r="F284" t="s">
        <v>25</v>
      </c>
      <c r="G284">
        <v>14</v>
      </c>
      <c r="H284" s="4">
        <v>180</v>
      </c>
      <c r="I284" s="4">
        <v>2520</v>
      </c>
      <c r="J284" t="str">
        <f>IF(Table1[[#This Row],[Revenue (£)]]&lt;500, "small", IF(Table1[[#This Row],[Revenue (£)]]&lt;2000, "medium", "Large"))</f>
        <v>Large</v>
      </c>
    </row>
    <row r="285" spans="1:10" x14ac:dyDescent="0.3">
      <c r="A285">
        <v>10284</v>
      </c>
      <c r="B285" s="2">
        <v>45464</v>
      </c>
      <c r="C285" t="s">
        <v>9</v>
      </c>
      <c r="D285" t="s">
        <v>15</v>
      </c>
      <c r="E285" t="s">
        <v>23</v>
      </c>
      <c r="F285" t="s">
        <v>26</v>
      </c>
      <c r="G285">
        <v>12</v>
      </c>
      <c r="H285" s="4">
        <v>850</v>
      </c>
      <c r="I285" s="4">
        <v>10200</v>
      </c>
      <c r="J285" t="str">
        <f>IF(Table1[[#This Row],[Revenue (£)]]&lt;500, "small", IF(Table1[[#This Row],[Revenue (£)]]&lt;2000, "medium", "Large"))</f>
        <v>Large</v>
      </c>
    </row>
    <row r="286" spans="1:10" x14ac:dyDescent="0.3">
      <c r="A286">
        <v>10285</v>
      </c>
      <c r="B286" s="2">
        <v>45334</v>
      </c>
      <c r="C286" t="s">
        <v>13</v>
      </c>
      <c r="D286" t="s">
        <v>18</v>
      </c>
      <c r="E286" t="s">
        <v>20</v>
      </c>
      <c r="F286" t="s">
        <v>26</v>
      </c>
      <c r="G286">
        <v>9</v>
      </c>
      <c r="H286" s="4">
        <v>220</v>
      </c>
      <c r="I286" s="4">
        <v>1980</v>
      </c>
      <c r="J286" t="str">
        <f>IF(Table1[[#This Row],[Revenue (£)]]&lt;500, "small", IF(Table1[[#This Row],[Revenue (£)]]&lt;2000, "medium", "Large"))</f>
        <v>medium</v>
      </c>
    </row>
    <row r="287" spans="1:10" x14ac:dyDescent="0.3">
      <c r="A287">
        <v>10286</v>
      </c>
      <c r="B287" s="2">
        <v>45451</v>
      </c>
      <c r="C287" t="s">
        <v>13</v>
      </c>
      <c r="D287" t="s">
        <v>16</v>
      </c>
      <c r="E287" t="s">
        <v>21</v>
      </c>
      <c r="F287" t="s">
        <v>25</v>
      </c>
      <c r="G287">
        <v>1</v>
      </c>
      <c r="H287" s="4">
        <v>180</v>
      </c>
      <c r="I287" s="4">
        <v>180</v>
      </c>
      <c r="J287" t="str">
        <f>IF(Table1[[#This Row],[Revenue (£)]]&lt;500, "small", IF(Table1[[#This Row],[Revenue (£)]]&lt;2000, "medium", "Large"))</f>
        <v>small</v>
      </c>
    </row>
    <row r="288" spans="1:10" x14ac:dyDescent="0.3">
      <c r="A288">
        <v>10287</v>
      </c>
      <c r="B288" s="2">
        <v>45432</v>
      </c>
      <c r="C288" t="s">
        <v>12</v>
      </c>
      <c r="D288" t="s">
        <v>15</v>
      </c>
      <c r="E288" t="s">
        <v>24</v>
      </c>
      <c r="F288" t="s">
        <v>25</v>
      </c>
      <c r="G288">
        <v>13</v>
      </c>
      <c r="H288" s="4">
        <v>30</v>
      </c>
      <c r="I288" s="4">
        <v>390</v>
      </c>
      <c r="J288" t="str">
        <f>IF(Table1[[#This Row],[Revenue (£)]]&lt;500, "small", IF(Table1[[#This Row],[Revenue (£)]]&lt;2000, "medium", "Large"))</f>
        <v>small</v>
      </c>
    </row>
    <row r="289" spans="1:10" x14ac:dyDescent="0.3">
      <c r="A289">
        <v>10288</v>
      </c>
      <c r="B289" s="2">
        <v>44962</v>
      </c>
      <c r="C289" t="s">
        <v>10</v>
      </c>
      <c r="D289" t="s">
        <v>15</v>
      </c>
      <c r="E289" t="s">
        <v>19</v>
      </c>
      <c r="F289" t="s">
        <v>25</v>
      </c>
      <c r="G289">
        <v>4</v>
      </c>
      <c r="H289" s="4">
        <v>75</v>
      </c>
      <c r="I289" s="4">
        <v>300</v>
      </c>
      <c r="J289" t="str">
        <f>IF(Table1[[#This Row],[Revenue (£)]]&lt;500, "small", IF(Table1[[#This Row],[Revenue (£)]]&lt;2000, "medium", "Large"))</f>
        <v>small</v>
      </c>
    </row>
    <row r="290" spans="1:10" x14ac:dyDescent="0.3">
      <c r="A290">
        <v>10289</v>
      </c>
      <c r="B290" s="2">
        <v>44946</v>
      </c>
      <c r="C290" t="s">
        <v>12</v>
      </c>
      <c r="D290" t="s">
        <v>14</v>
      </c>
      <c r="E290" t="s">
        <v>20</v>
      </c>
      <c r="F290" t="s">
        <v>26</v>
      </c>
      <c r="G290">
        <v>9</v>
      </c>
      <c r="H290" s="4">
        <v>220</v>
      </c>
      <c r="I290" s="4">
        <v>1980</v>
      </c>
      <c r="J290" t="str">
        <f>IF(Table1[[#This Row],[Revenue (£)]]&lt;500, "small", IF(Table1[[#This Row],[Revenue (£)]]&lt;2000, "medium", "Large"))</f>
        <v>medium</v>
      </c>
    </row>
    <row r="291" spans="1:10" x14ac:dyDescent="0.3">
      <c r="A291">
        <v>10290</v>
      </c>
      <c r="B291" s="2">
        <v>45247</v>
      </c>
      <c r="C291" t="s">
        <v>11</v>
      </c>
      <c r="D291" t="s">
        <v>15</v>
      </c>
      <c r="E291" t="s">
        <v>19</v>
      </c>
      <c r="F291" t="s">
        <v>25</v>
      </c>
      <c r="G291">
        <v>4</v>
      </c>
      <c r="H291" s="4">
        <v>75</v>
      </c>
      <c r="I291" s="4">
        <v>300</v>
      </c>
      <c r="J291" t="str">
        <f>IF(Table1[[#This Row],[Revenue (£)]]&lt;500, "small", IF(Table1[[#This Row],[Revenue (£)]]&lt;2000, "medium", "Large"))</f>
        <v>small</v>
      </c>
    </row>
    <row r="292" spans="1:10" x14ac:dyDescent="0.3">
      <c r="A292">
        <v>10291</v>
      </c>
      <c r="B292" s="2">
        <v>45438</v>
      </c>
      <c r="C292" t="s">
        <v>9</v>
      </c>
      <c r="D292" t="s">
        <v>18</v>
      </c>
      <c r="E292" t="s">
        <v>20</v>
      </c>
      <c r="F292" t="s">
        <v>26</v>
      </c>
      <c r="G292">
        <v>10</v>
      </c>
      <c r="H292" s="4">
        <v>220</v>
      </c>
      <c r="I292" s="4">
        <v>2200</v>
      </c>
      <c r="J292" t="str">
        <f>IF(Table1[[#This Row],[Revenue (£)]]&lt;500, "small", IF(Table1[[#This Row],[Revenue (£)]]&lt;2000, "medium", "Large"))</f>
        <v>Large</v>
      </c>
    </row>
    <row r="293" spans="1:10" x14ac:dyDescent="0.3">
      <c r="A293">
        <v>10292</v>
      </c>
      <c r="B293" s="2">
        <v>45326</v>
      </c>
      <c r="C293" t="s">
        <v>11</v>
      </c>
      <c r="D293" t="s">
        <v>18</v>
      </c>
      <c r="E293" t="s">
        <v>24</v>
      </c>
      <c r="F293" t="s">
        <v>25</v>
      </c>
      <c r="G293">
        <v>3</v>
      </c>
      <c r="H293" s="4">
        <v>30</v>
      </c>
      <c r="I293" s="4">
        <v>90</v>
      </c>
      <c r="J293" t="str">
        <f>IF(Table1[[#This Row],[Revenue (£)]]&lt;500, "small", IF(Table1[[#This Row],[Revenue (£)]]&lt;2000, "medium", "Large"))</f>
        <v>small</v>
      </c>
    </row>
    <row r="294" spans="1:10" x14ac:dyDescent="0.3">
      <c r="A294">
        <v>10293</v>
      </c>
      <c r="B294" s="2">
        <v>45397</v>
      </c>
      <c r="C294" t="s">
        <v>13</v>
      </c>
      <c r="D294" t="s">
        <v>17</v>
      </c>
      <c r="E294" t="s">
        <v>19</v>
      </c>
      <c r="F294" t="s">
        <v>25</v>
      </c>
      <c r="G294">
        <v>9</v>
      </c>
      <c r="H294" s="4">
        <v>75</v>
      </c>
      <c r="I294" s="4">
        <v>675</v>
      </c>
      <c r="J294" t="str">
        <f>IF(Table1[[#This Row],[Revenue (£)]]&lt;500, "small", IF(Table1[[#This Row],[Revenue (£)]]&lt;2000, "medium", "Large"))</f>
        <v>medium</v>
      </c>
    </row>
    <row r="295" spans="1:10" x14ac:dyDescent="0.3">
      <c r="A295">
        <v>10294</v>
      </c>
      <c r="B295" s="2">
        <v>45069</v>
      </c>
      <c r="C295" t="s">
        <v>12</v>
      </c>
      <c r="D295" t="s">
        <v>18</v>
      </c>
      <c r="E295" t="s">
        <v>22</v>
      </c>
      <c r="F295" t="s">
        <v>25</v>
      </c>
      <c r="G295">
        <v>13</v>
      </c>
      <c r="H295" s="4">
        <v>45</v>
      </c>
      <c r="I295" s="4">
        <v>585</v>
      </c>
      <c r="J295" t="str">
        <f>IF(Table1[[#This Row],[Revenue (£)]]&lt;500, "small", IF(Table1[[#This Row],[Revenue (£)]]&lt;2000, "medium", "Large"))</f>
        <v>medium</v>
      </c>
    </row>
    <row r="296" spans="1:10" x14ac:dyDescent="0.3">
      <c r="A296">
        <v>10295</v>
      </c>
      <c r="B296" s="2">
        <v>45018</v>
      </c>
      <c r="C296" t="s">
        <v>12</v>
      </c>
      <c r="D296" t="s">
        <v>15</v>
      </c>
      <c r="E296" t="s">
        <v>23</v>
      </c>
      <c r="F296" t="s">
        <v>26</v>
      </c>
      <c r="G296">
        <v>2</v>
      </c>
      <c r="H296" s="4">
        <v>850</v>
      </c>
      <c r="I296" s="4">
        <v>1700</v>
      </c>
      <c r="J296" t="str">
        <f>IF(Table1[[#This Row],[Revenue (£)]]&lt;500, "small", IF(Table1[[#This Row],[Revenue (£)]]&lt;2000, "medium", "Large"))</f>
        <v>medium</v>
      </c>
    </row>
    <row r="297" spans="1:10" x14ac:dyDescent="0.3">
      <c r="A297">
        <v>10296</v>
      </c>
      <c r="B297" s="2">
        <v>45280</v>
      </c>
      <c r="C297" t="s">
        <v>12</v>
      </c>
      <c r="D297" t="s">
        <v>18</v>
      </c>
      <c r="E297" t="s">
        <v>22</v>
      </c>
      <c r="F297" t="s">
        <v>25</v>
      </c>
      <c r="G297">
        <v>4</v>
      </c>
      <c r="H297" s="4">
        <v>45</v>
      </c>
      <c r="I297" s="4">
        <v>180</v>
      </c>
      <c r="J297" t="str">
        <f>IF(Table1[[#This Row],[Revenue (£)]]&lt;500, "small", IF(Table1[[#This Row],[Revenue (£)]]&lt;2000, "medium", "Large"))</f>
        <v>small</v>
      </c>
    </row>
    <row r="298" spans="1:10" x14ac:dyDescent="0.3">
      <c r="A298">
        <v>10297</v>
      </c>
      <c r="B298" s="2">
        <v>44977</v>
      </c>
      <c r="C298" t="s">
        <v>11</v>
      </c>
      <c r="D298" t="s">
        <v>14</v>
      </c>
      <c r="E298" t="s">
        <v>21</v>
      </c>
      <c r="F298" t="s">
        <v>25</v>
      </c>
      <c r="G298">
        <v>6</v>
      </c>
      <c r="H298" s="4">
        <v>180</v>
      </c>
      <c r="I298" s="4">
        <v>1080</v>
      </c>
      <c r="J298" t="str">
        <f>IF(Table1[[#This Row],[Revenue (£)]]&lt;500, "small", IF(Table1[[#This Row],[Revenue (£)]]&lt;2000, "medium", "Large"))</f>
        <v>medium</v>
      </c>
    </row>
    <row r="299" spans="1:10" x14ac:dyDescent="0.3">
      <c r="A299">
        <v>10298</v>
      </c>
      <c r="B299" s="2">
        <v>45116</v>
      </c>
      <c r="C299" t="s">
        <v>13</v>
      </c>
      <c r="D299" t="s">
        <v>17</v>
      </c>
      <c r="E299" t="s">
        <v>24</v>
      </c>
      <c r="F299" t="s">
        <v>25</v>
      </c>
      <c r="G299">
        <v>2</v>
      </c>
      <c r="H299" s="4">
        <v>30</v>
      </c>
      <c r="I299" s="4">
        <v>60</v>
      </c>
      <c r="J299" t="str">
        <f>IF(Table1[[#This Row],[Revenue (£)]]&lt;500, "small", IF(Table1[[#This Row],[Revenue (£)]]&lt;2000, "medium", "Large"))</f>
        <v>small</v>
      </c>
    </row>
    <row r="300" spans="1:10" x14ac:dyDescent="0.3">
      <c r="A300">
        <v>10299</v>
      </c>
      <c r="B300" s="2">
        <v>45051</v>
      </c>
      <c r="C300" t="s">
        <v>9</v>
      </c>
      <c r="D300" t="s">
        <v>15</v>
      </c>
      <c r="E300" t="s">
        <v>22</v>
      </c>
      <c r="F300" t="s">
        <v>25</v>
      </c>
      <c r="G300">
        <v>8</v>
      </c>
      <c r="H300" s="4">
        <v>45</v>
      </c>
      <c r="I300" s="4">
        <v>360</v>
      </c>
      <c r="J300" t="str">
        <f>IF(Table1[[#This Row],[Revenue (£)]]&lt;500, "small", IF(Table1[[#This Row],[Revenue (£)]]&lt;2000, "medium", "Large"))</f>
        <v>small</v>
      </c>
    </row>
    <row r="301" spans="1:10" x14ac:dyDescent="0.3">
      <c r="A301">
        <v>10300</v>
      </c>
      <c r="B301" s="2">
        <v>45076</v>
      </c>
      <c r="C301" t="s">
        <v>9</v>
      </c>
      <c r="D301" t="s">
        <v>17</v>
      </c>
      <c r="E301" t="s">
        <v>20</v>
      </c>
      <c r="F301" t="s">
        <v>26</v>
      </c>
      <c r="G301">
        <v>8</v>
      </c>
      <c r="H301" s="4">
        <v>220</v>
      </c>
      <c r="I301" s="4">
        <v>1760</v>
      </c>
      <c r="J301" t="str">
        <f>IF(Table1[[#This Row],[Revenue (£)]]&lt;500, "small", IF(Table1[[#This Row],[Revenue (£)]]&lt;2000, "medium", "Large"))</f>
        <v>medium</v>
      </c>
    </row>
    <row r="302" spans="1:10" x14ac:dyDescent="0.3">
      <c r="A302">
        <v>10301</v>
      </c>
      <c r="B302" s="2">
        <v>45240</v>
      </c>
      <c r="C302" t="s">
        <v>11</v>
      </c>
      <c r="D302" t="s">
        <v>15</v>
      </c>
      <c r="E302" t="s">
        <v>21</v>
      </c>
      <c r="F302" t="s">
        <v>25</v>
      </c>
      <c r="G302">
        <v>1</v>
      </c>
      <c r="H302" s="4">
        <v>180</v>
      </c>
      <c r="I302" s="4">
        <v>180</v>
      </c>
      <c r="J302" t="str">
        <f>IF(Table1[[#This Row],[Revenue (£)]]&lt;500, "small", IF(Table1[[#This Row],[Revenue (£)]]&lt;2000, "medium", "Large"))</f>
        <v>small</v>
      </c>
    </row>
    <row r="303" spans="1:10" x14ac:dyDescent="0.3">
      <c r="A303">
        <v>10302</v>
      </c>
      <c r="B303" s="2">
        <v>45268</v>
      </c>
      <c r="C303" t="s">
        <v>12</v>
      </c>
      <c r="D303" t="s">
        <v>14</v>
      </c>
      <c r="E303" t="s">
        <v>21</v>
      </c>
      <c r="F303" t="s">
        <v>25</v>
      </c>
      <c r="G303">
        <v>12</v>
      </c>
      <c r="H303" s="4">
        <v>180</v>
      </c>
      <c r="I303" s="4">
        <v>2160</v>
      </c>
      <c r="J303" t="str">
        <f>IF(Table1[[#This Row],[Revenue (£)]]&lt;500, "small", IF(Table1[[#This Row],[Revenue (£)]]&lt;2000, "medium", "Large"))</f>
        <v>Large</v>
      </c>
    </row>
    <row r="304" spans="1:10" x14ac:dyDescent="0.3">
      <c r="A304">
        <v>10303</v>
      </c>
      <c r="B304" s="2">
        <v>45231</v>
      </c>
      <c r="C304" t="s">
        <v>10</v>
      </c>
      <c r="D304" t="s">
        <v>17</v>
      </c>
      <c r="E304" t="s">
        <v>22</v>
      </c>
      <c r="F304" t="s">
        <v>25</v>
      </c>
      <c r="G304">
        <v>3</v>
      </c>
      <c r="H304" s="4">
        <v>45</v>
      </c>
      <c r="I304" s="4">
        <v>135</v>
      </c>
      <c r="J304" t="str">
        <f>IF(Table1[[#This Row],[Revenue (£)]]&lt;500, "small", IF(Table1[[#This Row],[Revenue (£)]]&lt;2000, "medium", "Large"))</f>
        <v>small</v>
      </c>
    </row>
    <row r="305" spans="1:10" x14ac:dyDescent="0.3">
      <c r="A305">
        <v>10304</v>
      </c>
      <c r="B305" s="2">
        <v>44980</v>
      </c>
      <c r="C305" t="s">
        <v>11</v>
      </c>
      <c r="D305" t="s">
        <v>16</v>
      </c>
      <c r="E305" t="s">
        <v>22</v>
      </c>
      <c r="F305" t="s">
        <v>25</v>
      </c>
      <c r="G305">
        <v>10</v>
      </c>
      <c r="H305" s="4">
        <v>45</v>
      </c>
      <c r="I305" s="4">
        <v>450</v>
      </c>
      <c r="J305" t="str">
        <f>IF(Table1[[#This Row],[Revenue (£)]]&lt;500, "small", IF(Table1[[#This Row],[Revenue (£)]]&lt;2000, "medium", "Large"))</f>
        <v>small</v>
      </c>
    </row>
    <row r="306" spans="1:10" x14ac:dyDescent="0.3">
      <c r="A306">
        <v>10305</v>
      </c>
      <c r="B306" s="2">
        <v>45370</v>
      </c>
      <c r="C306" t="s">
        <v>11</v>
      </c>
      <c r="D306" t="s">
        <v>15</v>
      </c>
      <c r="E306" t="s">
        <v>24</v>
      </c>
      <c r="F306" t="s">
        <v>25</v>
      </c>
      <c r="G306">
        <v>9</v>
      </c>
      <c r="H306" s="4">
        <v>30</v>
      </c>
      <c r="I306" s="4">
        <v>270</v>
      </c>
      <c r="J306" t="str">
        <f>IF(Table1[[#This Row],[Revenue (£)]]&lt;500, "small", IF(Table1[[#This Row],[Revenue (£)]]&lt;2000, "medium", "Large"))</f>
        <v>small</v>
      </c>
    </row>
    <row r="307" spans="1:10" x14ac:dyDescent="0.3">
      <c r="A307">
        <v>10306</v>
      </c>
      <c r="B307" s="2">
        <v>45190</v>
      </c>
      <c r="C307" t="s">
        <v>13</v>
      </c>
      <c r="D307" t="s">
        <v>16</v>
      </c>
      <c r="E307" t="s">
        <v>23</v>
      </c>
      <c r="F307" t="s">
        <v>26</v>
      </c>
      <c r="G307">
        <v>5</v>
      </c>
      <c r="H307" s="4">
        <v>850</v>
      </c>
      <c r="I307" s="4">
        <v>4250</v>
      </c>
      <c r="J307" t="str">
        <f>IF(Table1[[#This Row],[Revenue (£)]]&lt;500, "small", IF(Table1[[#This Row],[Revenue (£)]]&lt;2000, "medium", "Large"))</f>
        <v>Large</v>
      </c>
    </row>
    <row r="308" spans="1:10" x14ac:dyDescent="0.3">
      <c r="A308">
        <v>10307</v>
      </c>
      <c r="B308" s="2">
        <v>44979</v>
      </c>
      <c r="C308" t="s">
        <v>9</v>
      </c>
      <c r="D308" t="s">
        <v>17</v>
      </c>
      <c r="E308" t="s">
        <v>22</v>
      </c>
      <c r="F308" t="s">
        <v>25</v>
      </c>
      <c r="G308">
        <v>6</v>
      </c>
      <c r="H308" s="4">
        <v>45</v>
      </c>
      <c r="I308" s="4">
        <v>270</v>
      </c>
      <c r="J308" t="str">
        <f>IF(Table1[[#This Row],[Revenue (£)]]&lt;500, "small", IF(Table1[[#This Row],[Revenue (£)]]&lt;2000, "medium", "Large"))</f>
        <v>small</v>
      </c>
    </row>
    <row r="309" spans="1:10" x14ac:dyDescent="0.3">
      <c r="A309">
        <v>10308</v>
      </c>
      <c r="B309" s="2">
        <v>44931</v>
      </c>
      <c r="C309" t="s">
        <v>11</v>
      </c>
      <c r="D309" t="s">
        <v>16</v>
      </c>
      <c r="E309" t="s">
        <v>22</v>
      </c>
      <c r="F309" t="s">
        <v>25</v>
      </c>
      <c r="G309">
        <v>4</v>
      </c>
      <c r="H309" s="4">
        <v>45</v>
      </c>
      <c r="I309" s="4">
        <v>180</v>
      </c>
      <c r="J309" t="str">
        <f>IF(Table1[[#This Row],[Revenue (£)]]&lt;500, "small", IF(Table1[[#This Row],[Revenue (£)]]&lt;2000, "medium", "Large"))</f>
        <v>small</v>
      </c>
    </row>
    <row r="310" spans="1:10" x14ac:dyDescent="0.3">
      <c r="A310">
        <v>10309</v>
      </c>
      <c r="B310" s="2">
        <v>45029</v>
      </c>
      <c r="C310" t="s">
        <v>11</v>
      </c>
      <c r="D310" t="s">
        <v>16</v>
      </c>
      <c r="E310" t="s">
        <v>19</v>
      </c>
      <c r="F310" t="s">
        <v>25</v>
      </c>
      <c r="G310">
        <v>10</v>
      </c>
      <c r="H310" s="4">
        <v>75</v>
      </c>
      <c r="I310" s="4">
        <v>750</v>
      </c>
      <c r="J310" t="str">
        <f>IF(Table1[[#This Row],[Revenue (£)]]&lt;500, "small", IF(Table1[[#This Row],[Revenue (£)]]&lt;2000, "medium", "Large"))</f>
        <v>medium</v>
      </c>
    </row>
    <row r="311" spans="1:10" x14ac:dyDescent="0.3">
      <c r="A311">
        <v>10310</v>
      </c>
      <c r="B311" s="2">
        <v>45122</v>
      </c>
      <c r="C311" t="s">
        <v>12</v>
      </c>
      <c r="D311" t="s">
        <v>17</v>
      </c>
      <c r="E311" t="s">
        <v>20</v>
      </c>
      <c r="F311" t="s">
        <v>26</v>
      </c>
      <c r="G311">
        <v>2</v>
      </c>
      <c r="H311" s="4">
        <v>220</v>
      </c>
      <c r="I311" s="4">
        <v>440</v>
      </c>
      <c r="J311" t="str">
        <f>IF(Table1[[#This Row],[Revenue (£)]]&lt;500, "small", IF(Table1[[#This Row],[Revenue (£)]]&lt;2000, "medium", "Large"))</f>
        <v>small</v>
      </c>
    </row>
    <row r="312" spans="1:10" x14ac:dyDescent="0.3">
      <c r="A312">
        <v>10311</v>
      </c>
      <c r="B312" s="2">
        <v>45276</v>
      </c>
      <c r="C312" t="s">
        <v>12</v>
      </c>
      <c r="D312" t="s">
        <v>14</v>
      </c>
      <c r="E312" t="s">
        <v>19</v>
      </c>
      <c r="F312" t="s">
        <v>25</v>
      </c>
      <c r="G312">
        <v>11</v>
      </c>
      <c r="H312" s="4">
        <v>75</v>
      </c>
      <c r="I312" s="4">
        <v>825</v>
      </c>
      <c r="J312" t="str">
        <f>IF(Table1[[#This Row],[Revenue (£)]]&lt;500, "small", IF(Table1[[#This Row],[Revenue (£)]]&lt;2000, "medium", "Large"))</f>
        <v>medium</v>
      </c>
    </row>
    <row r="313" spans="1:10" x14ac:dyDescent="0.3">
      <c r="A313">
        <v>10312</v>
      </c>
      <c r="B313" s="2">
        <v>44973</v>
      </c>
      <c r="C313" t="s">
        <v>10</v>
      </c>
      <c r="D313" t="s">
        <v>16</v>
      </c>
      <c r="E313" t="s">
        <v>19</v>
      </c>
      <c r="F313" t="s">
        <v>25</v>
      </c>
      <c r="G313">
        <v>8</v>
      </c>
      <c r="H313" s="4">
        <v>75</v>
      </c>
      <c r="I313" s="4">
        <v>600</v>
      </c>
      <c r="J313" t="str">
        <f>IF(Table1[[#This Row],[Revenue (£)]]&lt;500, "small", IF(Table1[[#This Row],[Revenue (£)]]&lt;2000, "medium", "Large"))</f>
        <v>medium</v>
      </c>
    </row>
    <row r="314" spans="1:10" x14ac:dyDescent="0.3">
      <c r="A314">
        <v>10313</v>
      </c>
      <c r="B314" s="2">
        <v>45195</v>
      </c>
      <c r="C314" t="s">
        <v>13</v>
      </c>
      <c r="D314" t="s">
        <v>16</v>
      </c>
      <c r="E314" t="s">
        <v>21</v>
      </c>
      <c r="F314" t="s">
        <v>25</v>
      </c>
      <c r="G314">
        <v>11</v>
      </c>
      <c r="H314" s="4">
        <v>180</v>
      </c>
      <c r="I314" s="4">
        <v>1980</v>
      </c>
      <c r="J314" t="str">
        <f>IF(Table1[[#This Row],[Revenue (£)]]&lt;500, "small", IF(Table1[[#This Row],[Revenue (£)]]&lt;2000, "medium", "Large"))</f>
        <v>medium</v>
      </c>
    </row>
    <row r="315" spans="1:10" x14ac:dyDescent="0.3">
      <c r="A315">
        <v>10314</v>
      </c>
      <c r="B315" s="2">
        <v>45296</v>
      </c>
      <c r="C315" t="s">
        <v>10</v>
      </c>
      <c r="D315" t="s">
        <v>14</v>
      </c>
      <c r="E315" t="s">
        <v>23</v>
      </c>
      <c r="F315" t="s">
        <v>26</v>
      </c>
      <c r="G315">
        <v>13</v>
      </c>
      <c r="H315" s="4">
        <v>850</v>
      </c>
      <c r="I315" s="4">
        <v>11050</v>
      </c>
      <c r="J315" t="str">
        <f>IF(Table1[[#This Row],[Revenue (£)]]&lt;500, "small", IF(Table1[[#This Row],[Revenue (£)]]&lt;2000, "medium", "Large"))</f>
        <v>Large</v>
      </c>
    </row>
    <row r="316" spans="1:10" x14ac:dyDescent="0.3">
      <c r="A316">
        <v>10315</v>
      </c>
      <c r="B316" s="2">
        <v>45032</v>
      </c>
      <c r="C316" t="s">
        <v>12</v>
      </c>
      <c r="D316" t="s">
        <v>16</v>
      </c>
      <c r="E316" t="s">
        <v>20</v>
      </c>
      <c r="F316" t="s">
        <v>26</v>
      </c>
      <c r="G316">
        <v>6</v>
      </c>
      <c r="H316" s="4">
        <v>220</v>
      </c>
      <c r="I316" s="4">
        <v>1320</v>
      </c>
      <c r="J316" t="str">
        <f>IF(Table1[[#This Row],[Revenue (£)]]&lt;500, "small", IF(Table1[[#This Row],[Revenue (£)]]&lt;2000, "medium", "Large"))</f>
        <v>medium</v>
      </c>
    </row>
    <row r="317" spans="1:10" x14ac:dyDescent="0.3">
      <c r="A317">
        <v>10316</v>
      </c>
      <c r="B317" s="2">
        <v>45046</v>
      </c>
      <c r="C317" t="s">
        <v>9</v>
      </c>
      <c r="D317" t="s">
        <v>16</v>
      </c>
      <c r="E317" t="s">
        <v>24</v>
      </c>
      <c r="F317" t="s">
        <v>25</v>
      </c>
      <c r="G317">
        <v>5</v>
      </c>
      <c r="H317" s="4">
        <v>30</v>
      </c>
      <c r="I317" s="4">
        <v>150</v>
      </c>
      <c r="J317" t="str">
        <f>IF(Table1[[#This Row],[Revenue (£)]]&lt;500, "small", IF(Table1[[#This Row],[Revenue (£)]]&lt;2000, "medium", "Large"))</f>
        <v>small</v>
      </c>
    </row>
    <row r="318" spans="1:10" x14ac:dyDescent="0.3">
      <c r="A318">
        <v>10317</v>
      </c>
      <c r="B318" s="2">
        <v>44984</v>
      </c>
      <c r="C318" t="s">
        <v>12</v>
      </c>
      <c r="D318" t="s">
        <v>16</v>
      </c>
      <c r="E318" t="s">
        <v>24</v>
      </c>
      <c r="F318" t="s">
        <v>25</v>
      </c>
      <c r="G318">
        <v>9</v>
      </c>
      <c r="H318" s="4">
        <v>30</v>
      </c>
      <c r="I318" s="4">
        <v>270</v>
      </c>
      <c r="J318" t="str">
        <f>IF(Table1[[#This Row],[Revenue (£)]]&lt;500, "small", IF(Table1[[#This Row],[Revenue (£)]]&lt;2000, "medium", "Large"))</f>
        <v>small</v>
      </c>
    </row>
    <row r="319" spans="1:10" x14ac:dyDescent="0.3">
      <c r="A319">
        <v>10318</v>
      </c>
      <c r="B319" s="2">
        <v>45272</v>
      </c>
      <c r="C319" t="s">
        <v>13</v>
      </c>
      <c r="D319" t="s">
        <v>18</v>
      </c>
      <c r="E319" t="s">
        <v>22</v>
      </c>
      <c r="F319" t="s">
        <v>25</v>
      </c>
      <c r="G319">
        <v>1</v>
      </c>
      <c r="H319" s="4">
        <v>45</v>
      </c>
      <c r="I319" s="4">
        <v>45</v>
      </c>
      <c r="J319" t="str">
        <f>IF(Table1[[#This Row],[Revenue (£)]]&lt;500, "small", IF(Table1[[#This Row],[Revenue (£)]]&lt;2000, "medium", "Large"))</f>
        <v>small</v>
      </c>
    </row>
    <row r="320" spans="1:10" x14ac:dyDescent="0.3">
      <c r="A320">
        <v>10319</v>
      </c>
      <c r="B320" s="2">
        <v>45400</v>
      </c>
      <c r="C320" t="s">
        <v>12</v>
      </c>
      <c r="D320" t="s">
        <v>14</v>
      </c>
      <c r="E320" t="s">
        <v>22</v>
      </c>
      <c r="F320" t="s">
        <v>25</v>
      </c>
      <c r="G320">
        <v>5</v>
      </c>
      <c r="H320" s="4">
        <v>45</v>
      </c>
      <c r="I320" s="4">
        <v>225</v>
      </c>
      <c r="J320" t="str">
        <f>IF(Table1[[#This Row],[Revenue (£)]]&lt;500, "small", IF(Table1[[#This Row],[Revenue (£)]]&lt;2000, "medium", "Large"))</f>
        <v>small</v>
      </c>
    </row>
    <row r="321" spans="1:10" x14ac:dyDescent="0.3">
      <c r="A321">
        <v>10320</v>
      </c>
      <c r="B321" s="2">
        <v>45043</v>
      </c>
      <c r="C321" t="s">
        <v>13</v>
      </c>
      <c r="D321" t="s">
        <v>16</v>
      </c>
      <c r="E321" t="s">
        <v>24</v>
      </c>
      <c r="F321" t="s">
        <v>25</v>
      </c>
      <c r="G321">
        <v>6</v>
      </c>
      <c r="H321" s="4">
        <v>30</v>
      </c>
      <c r="I321" s="4">
        <v>180</v>
      </c>
      <c r="J321" t="str">
        <f>IF(Table1[[#This Row],[Revenue (£)]]&lt;500, "small", IF(Table1[[#This Row],[Revenue (£)]]&lt;2000, "medium", "Large"))</f>
        <v>small</v>
      </c>
    </row>
    <row r="322" spans="1:10" x14ac:dyDescent="0.3">
      <c r="A322">
        <v>10321</v>
      </c>
      <c r="B322" s="2">
        <v>45053</v>
      </c>
      <c r="C322" t="s">
        <v>13</v>
      </c>
      <c r="D322" t="s">
        <v>14</v>
      </c>
      <c r="E322" t="s">
        <v>22</v>
      </c>
      <c r="F322" t="s">
        <v>25</v>
      </c>
      <c r="G322">
        <v>5</v>
      </c>
      <c r="H322" s="4">
        <v>45</v>
      </c>
      <c r="I322" s="4">
        <v>225</v>
      </c>
      <c r="J322" t="str">
        <f>IF(Table1[[#This Row],[Revenue (£)]]&lt;500, "small", IF(Table1[[#This Row],[Revenue (£)]]&lt;2000, "medium", "Large"))</f>
        <v>small</v>
      </c>
    </row>
    <row r="323" spans="1:10" x14ac:dyDescent="0.3">
      <c r="A323">
        <v>10322</v>
      </c>
      <c r="B323" s="2">
        <v>45319</v>
      </c>
      <c r="C323" t="s">
        <v>13</v>
      </c>
      <c r="D323" t="s">
        <v>15</v>
      </c>
      <c r="E323" t="s">
        <v>23</v>
      </c>
      <c r="F323" t="s">
        <v>26</v>
      </c>
      <c r="G323">
        <v>6</v>
      </c>
      <c r="H323" s="4">
        <v>850</v>
      </c>
      <c r="I323" s="4">
        <v>5100</v>
      </c>
      <c r="J323" t="str">
        <f>IF(Table1[[#This Row],[Revenue (£)]]&lt;500, "small", IF(Table1[[#This Row],[Revenue (£)]]&lt;2000, "medium", "Large"))</f>
        <v>Large</v>
      </c>
    </row>
    <row r="324" spans="1:10" x14ac:dyDescent="0.3">
      <c r="A324">
        <v>10323</v>
      </c>
      <c r="B324" s="2">
        <v>44984</v>
      </c>
      <c r="C324" t="s">
        <v>13</v>
      </c>
      <c r="D324" t="s">
        <v>15</v>
      </c>
      <c r="E324" t="s">
        <v>19</v>
      </c>
      <c r="F324" t="s">
        <v>25</v>
      </c>
      <c r="G324">
        <v>6</v>
      </c>
      <c r="H324" s="4">
        <v>75</v>
      </c>
      <c r="I324" s="4">
        <v>450</v>
      </c>
      <c r="J324" t="str">
        <f>IF(Table1[[#This Row],[Revenue (£)]]&lt;500, "small", IF(Table1[[#This Row],[Revenue (£)]]&lt;2000, "medium", "Large"))</f>
        <v>small</v>
      </c>
    </row>
    <row r="325" spans="1:10" x14ac:dyDescent="0.3">
      <c r="A325">
        <v>10324</v>
      </c>
      <c r="B325" s="2">
        <v>45439</v>
      </c>
      <c r="C325" t="s">
        <v>13</v>
      </c>
      <c r="D325" t="s">
        <v>16</v>
      </c>
      <c r="E325" t="s">
        <v>22</v>
      </c>
      <c r="F325" t="s">
        <v>25</v>
      </c>
      <c r="G325">
        <v>7</v>
      </c>
      <c r="H325" s="4">
        <v>45</v>
      </c>
      <c r="I325" s="4">
        <v>315</v>
      </c>
      <c r="J325" t="str">
        <f>IF(Table1[[#This Row],[Revenue (£)]]&lt;500, "small", IF(Table1[[#This Row],[Revenue (£)]]&lt;2000, "medium", "Large"))</f>
        <v>small</v>
      </c>
    </row>
    <row r="326" spans="1:10" x14ac:dyDescent="0.3">
      <c r="A326">
        <v>10325</v>
      </c>
      <c r="B326" s="2">
        <v>45022</v>
      </c>
      <c r="C326" t="s">
        <v>9</v>
      </c>
      <c r="D326" t="s">
        <v>14</v>
      </c>
      <c r="E326" t="s">
        <v>21</v>
      </c>
      <c r="F326" t="s">
        <v>25</v>
      </c>
      <c r="G326">
        <v>4</v>
      </c>
      <c r="H326" s="4">
        <v>180</v>
      </c>
      <c r="I326" s="4">
        <v>720</v>
      </c>
      <c r="J326" t="str">
        <f>IF(Table1[[#This Row],[Revenue (£)]]&lt;500, "small", IF(Table1[[#This Row],[Revenue (£)]]&lt;2000, "medium", "Large"))</f>
        <v>medium</v>
      </c>
    </row>
    <row r="327" spans="1:10" x14ac:dyDescent="0.3">
      <c r="A327">
        <v>10326</v>
      </c>
      <c r="B327" s="2">
        <v>45044</v>
      </c>
      <c r="C327" t="s">
        <v>10</v>
      </c>
      <c r="D327" t="s">
        <v>14</v>
      </c>
      <c r="E327" t="s">
        <v>22</v>
      </c>
      <c r="F327" t="s">
        <v>25</v>
      </c>
      <c r="G327">
        <v>14</v>
      </c>
      <c r="H327" s="4">
        <v>45</v>
      </c>
      <c r="I327" s="4">
        <v>630</v>
      </c>
      <c r="J327" t="str">
        <f>IF(Table1[[#This Row],[Revenue (£)]]&lt;500, "small", IF(Table1[[#This Row],[Revenue (£)]]&lt;2000, "medium", "Large"))</f>
        <v>medium</v>
      </c>
    </row>
    <row r="328" spans="1:10" x14ac:dyDescent="0.3">
      <c r="A328">
        <v>10327</v>
      </c>
      <c r="B328" s="2">
        <v>45414</v>
      </c>
      <c r="C328" t="s">
        <v>11</v>
      </c>
      <c r="D328" t="s">
        <v>14</v>
      </c>
      <c r="E328" t="s">
        <v>20</v>
      </c>
      <c r="F328" t="s">
        <v>26</v>
      </c>
      <c r="G328">
        <v>11</v>
      </c>
      <c r="H328" s="4">
        <v>220</v>
      </c>
      <c r="I328" s="4">
        <v>2420</v>
      </c>
      <c r="J328" t="str">
        <f>IF(Table1[[#This Row],[Revenue (£)]]&lt;500, "small", IF(Table1[[#This Row],[Revenue (£)]]&lt;2000, "medium", "Large"))</f>
        <v>Large</v>
      </c>
    </row>
    <row r="329" spans="1:10" x14ac:dyDescent="0.3">
      <c r="A329">
        <v>10328</v>
      </c>
      <c r="B329" s="2">
        <v>45163</v>
      </c>
      <c r="C329" t="s">
        <v>10</v>
      </c>
      <c r="D329" t="s">
        <v>18</v>
      </c>
      <c r="E329" t="s">
        <v>23</v>
      </c>
      <c r="F329" t="s">
        <v>26</v>
      </c>
      <c r="G329">
        <v>14</v>
      </c>
      <c r="H329" s="4">
        <v>850</v>
      </c>
      <c r="I329" s="4">
        <v>11900</v>
      </c>
      <c r="J329" t="str">
        <f>IF(Table1[[#This Row],[Revenue (£)]]&lt;500, "small", IF(Table1[[#This Row],[Revenue (£)]]&lt;2000, "medium", "Large"))</f>
        <v>Large</v>
      </c>
    </row>
    <row r="330" spans="1:10" x14ac:dyDescent="0.3">
      <c r="A330">
        <v>10329</v>
      </c>
      <c r="B330" s="2">
        <v>45198</v>
      </c>
      <c r="C330" t="s">
        <v>13</v>
      </c>
      <c r="D330" t="s">
        <v>15</v>
      </c>
      <c r="E330" t="s">
        <v>20</v>
      </c>
      <c r="F330" t="s">
        <v>26</v>
      </c>
      <c r="G330">
        <v>14</v>
      </c>
      <c r="H330" s="4">
        <v>220</v>
      </c>
      <c r="I330" s="4">
        <v>3080</v>
      </c>
      <c r="J330" t="str">
        <f>IF(Table1[[#This Row],[Revenue (£)]]&lt;500, "small", IF(Table1[[#This Row],[Revenue (£)]]&lt;2000, "medium", "Large"))</f>
        <v>Large</v>
      </c>
    </row>
    <row r="331" spans="1:10" x14ac:dyDescent="0.3">
      <c r="A331">
        <v>10330</v>
      </c>
      <c r="B331" s="2">
        <v>45115</v>
      </c>
      <c r="C331" t="s">
        <v>9</v>
      </c>
      <c r="D331" t="s">
        <v>14</v>
      </c>
      <c r="E331" t="s">
        <v>20</v>
      </c>
      <c r="F331" t="s">
        <v>26</v>
      </c>
      <c r="G331">
        <v>14</v>
      </c>
      <c r="H331" s="4">
        <v>220</v>
      </c>
      <c r="I331" s="4">
        <v>3080</v>
      </c>
      <c r="J331" t="str">
        <f>IF(Table1[[#This Row],[Revenue (£)]]&lt;500, "small", IF(Table1[[#This Row],[Revenue (£)]]&lt;2000, "medium", "Large"))</f>
        <v>Large</v>
      </c>
    </row>
    <row r="332" spans="1:10" x14ac:dyDescent="0.3">
      <c r="A332">
        <v>10331</v>
      </c>
      <c r="B332" s="2">
        <v>45373</v>
      </c>
      <c r="C332" t="s">
        <v>12</v>
      </c>
      <c r="D332" t="s">
        <v>14</v>
      </c>
      <c r="E332" t="s">
        <v>21</v>
      </c>
      <c r="F332" t="s">
        <v>25</v>
      </c>
      <c r="G332">
        <v>8</v>
      </c>
      <c r="H332" s="4">
        <v>180</v>
      </c>
      <c r="I332" s="4">
        <v>1440</v>
      </c>
      <c r="J332" t="str">
        <f>IF(Table1[[#This Row],[Revenue (£)]]&lt;500, "small", IF(Table1[[#This Row],[Revenue (£)]]&lt;2000, "medium", "Large"))</f>
        <v>medium</v>
      </c>
    </row>
    <row r="333" spans="1:10" x14ac:dyDescent="0.3">
      <c r="A333">
        <v>10332</v>
      </c>
      <c r="B333" s="2">
        <v>45173</v>
      </c>
      <c r="C333" t="s">
        <v>9</v>
      </c>
      <c r="D333" t="s">
        <v>18</v>
      </c>
      <c r="E333" t="s">
        <v>23</v>
      </c>
      <c r="F333" t="s">
        <v>26</v>
      </c>
      <c r="G333">
        <v>7</v>
      </c>
      <c r="H333" s="4">
        <v>850</v>
      </c>
      <c r="I333" s="4">
        <v>5950</v>
      </c>
      <c r="J333" t="str">
        <f>IF(Table1[[#This Row],[Revenue (£)]]&lt;500, "small", IF(Table1[[#This Row],[Revenue (£)]]&lt;2000, "medium", "Large"))</f>
        <v>Large</v>
      </c>
    </row>
    <row r="334" spans="1:10" x14ac:dyDescent="0.3">
      <c r="A334">
        <v>10333</v>
      </c>
      <c r="B334" s="2">
        <v>45002</v>
      </c>
      <c r="C334" t="s">
        <v>13</v>
      </c>
      <c r="D334" t="s">
        <v>18</v>
      </c>
      <c r="E334" t="s">
        <v>23</v>
      </c>
      <c r="F334" t="s">
        <v>26</v>
      </c>
      <c r="G334">
        <v>9</v>
      </c>
      <c r="H334" s="4">
        <v>850</v>
      </c>
      <c r="I334" s="4">
        <v>7650</v>
      </c>
      <c r="J334" t="str">
        <f>IF(Table1[[#This Row],[Revenue (£)]]&lt;500, "small", IF(Table1[[#This Row],[Revenue (£)]]&lt;2000, "medium", "Large"))</f>
        <v>Large</v>
      </c>
    </row>
    <row r="335" spans="1:10" x14ac:dyDescent="0.3">
      <c r="A335">
        <v>10334</v>
      </c>
      <c r="B335" s="2">
        <v>45080</v>
      </c>
      <c r="C335" t="s">
        <v>9</v>
      </c>
      <c r="D335" t="s">
        <v>14</v>
      </c>
      <c r="E335" t="s">
        <v>23</v>
      </c>
      <c r="F335" t="s">
        <v>26</v>
      </c>
      <c r="G335">
        <v>7</v>
      </c>
      <c r="H335" s="4">
        <v>850</v>
      </c>
      <c r="I335" s="4">
        <v>5950</v>
      </c>
      <c r="J335" t="str">
        <f>IF(Table1[[#This Row],[Revenue (£)]]&lt;500, "small", IF(Table1[[#This Row],[Revenue (£)]]&lt;2000, "medium", "Large"))</f>
        <v>Large</v>
      </c>
    </row>
    <row r="336" spans="1:10" x14ac:dyDescent="0.3">
      <c r="A336">
        <v>10335</v>
      </c>
      <c r="B336" s="2">
        <v>45361</v>
      </c>
      <c r="C336" t="s">
        <v>9</v>
      </c>
      <c r="D336" t="s">
        <v>17</v>
      </c>
      <c r="E336" t="s">
        <v>23</v>
      </c>
      <c r="F336" t="s">
        <v>26</v>
      </c>
      <c r="G336">
        <v>3</v>
      </c>
      <c r="H336" s="4">
        <v>850</v>
      </c>
      <c r="I336" s="4">
        <v>2550</v>
      </c>
      <c r="J336" t="str">
        <f>IF(Table1[[#This Row],[Revenue (£)]]&lt;500, "small", IF(Table1[[#This Row],[Revenue (£)]]&lt;2000, "medium", "Large"))</f>
        <v>Large</v>
      </c>
    </row>
    <row r="337" spans="1:10" x14ac:dyDescent="0.3">
      <c r="A337">
        <v>10336</v>
      </c>
      <c r="B337" s="2">
        <v>45012</v>
      </c>
      <c r="C337" t="s">
        <v>13</v>
      </c>
      <c r="D337" t="s">
        <v>14</v>
      </c>
      <c r="E337" t="s">
        <v>23</v>
      </c>
      <c r="F337" t="s">
        <v>26</v>
      </c>
      <c r="G337">
        <v>3</v>
      </c>
      <c r="H337" s="4">
        <v>850</v>
      </c>
      <c r="I337" s="4">
        <v>2550</v>
      </c>
      <c r="J337" t="str">
        <f>IF(Table1[[#This Row],[Revenue (£)]]&lt;500, "small", IF(Table1[[#This Row],[Revenue (£)]]&lt;2000, "medium", "Large"))</f>
        <v>Large</v>
      </c>
    </row>
    <row r="338" spans="1:10" x14ac:dyDescent="0.3">
      <c r="A338">
        <v>10337</v>
      </c>
      <c r="B338" s="2">
        <v>45211</v>
      </c>
      <c r="C338" t="s">
        <v>9</v>
      </c>
      <c r="D338" t="s">
        <v>14</v>
      </c>
      <c r="E338" t="s">
        <v>21</v>
      </c>
      <c r="F338" t="s">
        <v>25</v>
      </c>
      <c r="G338">
        <v>8</v>
      </c>
      <c r="H338" s="4">
        <v>180</v>
      </c>
      <c r="I338" s="4">
        <v>1440</v>
      </c>
      <c r="J338" t="str">
        <f>IF(Table1[[#This Row],[Revenue (£)]]&lt;500, "small", IF(Table1[[#This Row],[Revenue (£)]]&lt;2000, "medium", "Large"))</f>
        <v>medium</v>
      </c>
    </row>
    <row r="339" spans="1:10" x14ac:dyDescent="0.3">
      <c r="A339">
        <v>10338</v>
      </c>
      <c r="B339" s="2">
        <v>45146</v>
      </c>
      <c r="C339" t="s">
        <v>11</v>
      </c>
      <c r="D339" t="s">
        <v>18</v>
      </c>
      <c r="E339" t="s">
        <v>22</v>
      </c>
      <c r="F339" t="s">
        <v>25</v>
      </c>
      <c r="G339">
        <v>5</v>
      </c>
      <c r="H339" s="4">
        <v>45</v>
      </c>
      <c r="I339" s="4">
        <v>225</v>
      </c>
      <c r="J339" t="str">
        <f>IF(Table1[[#This Row],[Revenue (£)]]&lt;500, "small", IF(Table1[[#This Row],[Revenue (£)]]&lt;2000, "medium", "Large"))</f>
        <v>small</v>
      </c>
    </row>
    <row r="340" spans="1:10" x14ac:dyDescent="0.3">
      <c r="A340">
        <v>10339</v>
      </c>
      <c r="B340" s="2">
        <v>44995</v>
      </c>
      <c r="C340" t="s">
        <v>11</v>
      </c>
      <c r="D340" t="s">
        <v>18</v>
      </c>
      <c r="E340" t="s">
        <v>20</v>
      </c>
      <c r="F340" t="s">
        <v>26</v>
      </c>
      <c r="G340">
        <v>4</v>
      </c>
      <c r="H340" s="4">
        <v>220</v>
      </c>
      <c r="I340" s="4">
        <v>880</v>
      </c>
      <c r="J340" t="str">
        <f>IF(Table1[[#This Row],[Revenue (£)]]&lt;500, "small", IF(Table1[[#This Row],[Revenue (£)]]&lt;2000, "medium", "Large"))</f>
        <v>medium</v>
      </c>
    </row>
    <row r="341" spans="1:10" x14ac:dyDescent="0.3">
      <c r="A341">
        <v>10340</v>
      </c>
      <c r="B341" s="2">
        <v>44973</v>
      </c>
      <c r="C341" t="s">
        <v>9</v>
      </c>
      <c r="D341" t="s">
        <v>14</v>
      </c>
      <c r="E341" t="s">
        <v>23</v>
      </c>
      <c r="F341" t="s">
        <v>26</v>
      </c>
      <c r="G341">
        <v>8</v>
      </c>
      <c r="H341" s="4">
        <v>850</v>
      </c>
      <c r="I341" s="4">
        <v>6800</v>
      </c>
      <c r="J341" t="str">
        <f>IF(Table1[[#This Row],[Revenue (£)]]&lt;500, "small", IF(Table1[[#This Row],[Revenue (£)]]&lt;2000, "medium", "Large"))</f>
        <v>Large</v>
      </c>
    </row>
    <row r="342" spans="1:10" x14ac:dyDescent="0.3">
      <c r="A342">
        <v>10341</v>
      </c>
      <c r="B342" s="2">
        <v>45020</v>
      </c>
      <c r="C342" t="s">
        <v>12</v>
      </c>
      <c r="D342" t="s">
        <v>14</v>
      </c>
      <c r="E342" t="s">
        <v>22</v>
      </c>
      <c r="F342" t="s">
        <v>25</v>
      </c>
      <c r="G342">
        <v>6</v>
      </c>
      <c r="H342" s="4">
        <v>45</v>
      </c>
      <c r="I342" s="4">
        <v>270</v>
      </c>
      <c r="J342" t="str">
        <f>IF(Table1[[#This Row],[Revenue (£)]]&lt;500, "small", IF(Table1[[#This Row],[Revenue (£)]]&lt;2000, "medium", "Large"))</f>
        <v>small</v>
      </c>
    </row>
    <row r="343" spans="1:10" x14ac:dyDescent="0.3">
      <c r="A343">
        <v>10342</v>
      </c>
      <c r="B343" s="2">
        <v>45379</v>
      </c>
      <c r="C343" t="s">
        <v>13</v>
      </c>
      <c r="D343" t="s">
        <v>14</v>
      </c>
      <c r="E343" t="s">
        <v>22</v>
      </c>
      <c r="F343" t="s">
        <v>25</v>
      </c>
      <c r="G343">
        <v>2</v>
      </c>
      <c r="H343" s="4">
        <v>45</v>
      </c>
      <c r="I343" s="4">
        <v>90</v>
      </c>
      <c r="J343" t="str">
        <f>IF(Table1[[#This Row],[Revenue (£)]]&lt;500, "small", IF(Table1[[#This Row],[Revenue (£)]]&lt;2000, "medium", "Large"))</f>
        <v>small</v>
      </c>
    </row>
    <row r="344" spans="1:10" x14ac:dyDescent="0.3">
      <c r="A344">
        <v>10343</v>
      </c>
      <c r="B344" s="2">
        <v>45130</v>
      </c>
      <c r="C344" t="s">
        <v>11</v>
      </c>
      <c r="D344" t="s">
        <v>18</v>
      </c>
      <c r="E344" t="s">
        <v>20</v>
      </c>
      <c r="F344" t="s">
        <v>26</v>
      </c>
      <c r="G344">
        <v>4</v>
      </c>
      <c r="H344" s="4">
        <v>220</v>
      </c>
      <c r="I344" s="4">
        <v>880</v>
      </c>
      <c r="J344" t="str">
        <f>IF(Table1[[#This Row],[Revenue (£)]]&lt;500, "small", IF(Table1[[#This Row],[Revenue (£)]]&lt;2000, "medium", "Large"))</f>
        <v>medium</v>
      </c>
    </row>
    <row r="345" spans="1:10" x14ac:dyDescent="0.3">
      <c r="A345">
        <v>10344</v>
      </c>
      <c r="B345" s="2">
        <v>45144</v>
      </c>
      <c r="C345" t="s">
        <v>12</v>
      </c>
      <c r="D345" t="s">
        <v>14</v>
      </c>
      <c r="E345" t="s">
        <v>21</v>
      </c>
      <c r="F345" t="s">
        <v>25</v>
      </c>
      <c r="G345">
        <v>12</v>
      </c>
      <c r="H345" s="4">
        <v>180</v>
      </c>
      <c r="I345" s="4">
        <v>2160</v>
      </c>
      <c r="J345" t="str">
        <f>IF(Table1[[#This Row],[Revenue (£)]]&lt;500, "small", IF(Table1[[#This Row],[Revenue (£)]]&lt;2000, "medium", "Large"))</f>
        <v>Large</v>
      </c>
    </row>
    <row r="346" spans="1:10" x14ac:dyDescent="0.3">
      <c r="A346">
        <v>10345</v>
      </c>
      <c r="B346" s="2">
        <v>45400</v>
      </c>
      <c r="C346" t="s">
        <v>9</v>
      </c>
      <c r="D346" t="s">
        <v>14</v>
      </c>
      <c r="E346" t="s">
        <v>24</v>
      </c>
      <c r="F346" t="s">
        <v>25</v>
      </c>
      <c r="G346">
        <v>11</v>
      </c>
      <c r="H346" s="4">
        <v>30</v>
      </c>
      <c r="I346" s="4">
        <v>330</v>
      </c>
      <c r="J346" t="str">
        <f>IF(Table1[[#This Row],[Revenue (£)]]&lt;500, "small", IF(Table1[[#This Row],[Revenue (£)]]&lt;2000, "medium", "Large"))</f>
        <v>small</v>
      </c>
    </row>
    <row r="347" spans="1:10" x14ac:dyDescent="0.3">
      <c r="A347">
        <v>10346</v>
      </c>
      <c r="B347" s="2">
        <v>45358</v>
      </c>
      <c r="C347" t="s">
        <v>12</v>
      </c>
      <c r="D347" t="s">
        <v>16</v>
      </c>
      <c r="E347" t="s">
        <v>24</v>
      </c>
      <c r="F347" t="s">
        <v>25</v>
      </c>
      <c r="G347">
        <v>4</v>
      </c>
      <c r="H347" s="4">
        <v>30</v>
      </c>
      <c r="I347" s="4">
        <v>120</v>
      </c>
      <c r="J347" t="str">
        <f>IF(Table1[[#This Row],[Revenue (£)]]&lt;500, "small", IF(Table1[[#This Row],[Revenue (£)]]&lt;2000, "medium", "Large"))</f>
        <v>small</v>
      </c>
    </row>
    <row r="348" spans="1:10" x14ac:dyDescent="0.3">
      <c r="A348">
        <v>10347</v>
      </c>
      <c r="B348" s="2">
        <v>45267</v>
      </c>
      <c r="C348" t="s">
        <v>10</v>
      </c>
      <c r="D348" t="s">
        <v>17</v>
      </c>
      <c r="E348" t="s">
        <v>22</v>
      </c>
      <c r="F348" t="s">
        <v>25</v>
      </c>
      <c r="G348">
        <v>6</v>
      </c>
      <c r="H348" s="4">
        <v>45</v>
      </c>
      <c r="I348" s="4">
        <v>270</v>
      </c>
      <c r="J348" t="str">
        <f>IF(Table1[[#This Row],[Revenue (£)]]&lt;500, "small", IF(Table1[[#This Row],[Revenue (£)]]&lt;2000, "medium", "Large"))</f>
        <v>small</v>
      </c>
    </row>
    <row r="349" spans="1:10" x14ac:dyDescent="0.3">
      <c r="A349">
        <v>10348</v>
      </c>
      <c r="B349" s="2">
        <v>45215</v>
      </c>
      <c r="C349" t="s">
        <v>11</v>
      </c>
      <c r="D349" t="s">
        <v>15</v>
      </c>
      <c r="E349" t="s">
        <v>19</v>
      </c>
      <c r="F349" t="s">
        <v>25</v>
      </c>
      <c r="G349">
        <v>6</v>
      </c>
      <c r="H349" s="4">
        <v>75</v>
      </c>
      <c r="I349" s="4">
        <v>450</v>
      </c>
      <c r="J349" t="str">
        <f>IF(Table1[[#This Row],[Revenue (£)]]&lt;500, "small", IF(Table1[[#This Row],[Revenue (£)]]&lt;2000, "medium", "Large"))</f>
        <v>small</v>
      </c>
    </row>
    <row r="350" spans="1:10" x14ac:dyDescent="0.3">
      <c r="A350">
        <v>10349</v>
      </c>
      <c r="B350" s="2">
        <v>45180</v>
      </c>
      <c r="C350" t="s">
        <v>9</v>
      </c>
      <c r="D350" t="s">
        <v>17</v>
      </c>
      <c r="E350" t="s">
        <v>19</v>
      </c>
      <c r="F350" t="s">
        <v>25</v>
      </c>
      <c r="G350">
        <v>1</v>
      </c>
      <c r="H350" s="4">
        <v>75</v>
      </c>
      <c r="I350" s="4">
        <v>75</v>
      </c>
      <c r="J350" t="str">
        <f>IF(Table1[[#This Row],[Revenue (£)]]&lt;500, "small", IF(Table1[[#This Row],[Revenue (£)]]&lt;2000, "medium", "Large"))</f>
        <v>small</v>
      </c>
    </row>
    <row r="351" spans="1:10" x14ac:dyDescent="0.3">
      <c r="A351">
        <v>10350</v>
      </c>
      <c r="B351" s="2">
        <v>45283</v>
      </c>
      <c r="C351" t="s">
        <v>13</v>
      </c>
      <c r="D351" t="s">
        <v>16</v>
      </c>
      <c r="E351" t="s">
        <v>20</v>
      </c>
      <c r="F351" t="s">
        <v>26</v>
      </c>
      <c r="G351">
        <v>14</v>
      </c>
      <c r="H351" s="4">
        <v>220</v>
      </c>
      <c r="I351" s="4">
        <v>3080</v>
      </c>
      <c r="J351" t="str">
        <f>IF(Table1[[#This Row],[Revenue (£)]]&lt;500, "small", IF(Table1[[#This Row],[Revenue (£)]]&lt;2000, "medium", "Large"))</f>
        <v>Large</v>
      </c>
    </row>
    <row r="352" spans="1:10" x14ac:dyDescent="0.3">
      <c r="A352">
        <v>10351</v>
      </c>
      <c r="B352" s="2">
        <v>44949</v>
      </c>
      <c r="C352" t="s">
        <v>9</v>
      </c>
      <c r="D352" t="s">
        <v>15</v>
      </c>
      <c r="E352" t="s">
        <v>24</v>
      </c>
      <c r="F352" t="s">
        <v>25</v>
      </c>
      <c r="G352">
        <v>8</v>
      </c>
      <c r="H352" s="4">
        <v>30</v>
      </c>
      <c r="I352" s="4">
        <v>240</v>
      </c>
      <c r="J352" t="str">
        <f>IF(Table1[[#This Row],[Revenue (£)]]&lt;500, "small", IF(Table1[[#This Row],[Revenue (£)]]&lt;2000, "medium", "Large"))</f>
        <v>small</v>
      </c>
    </row>
    <row r="353" spans="1:10" x14ac:dyDescent="0.3">
      <c r="A353">
        <v>10352</v>
      </c>
      <c r="B353" s="2">
        <v>45448</v>
      </c>
      <c r="C353" t="s">
        <v>13</v>
      </c>
      <c r="D353" t="s">
        <v>14</v>
      </c>
      <c r="E353" t="s">
        <v>22</v>
      </c>
      <c r="F353" t="s">
        <v>25</v>
      </c>
      <c r="G353">
        <v>6</v>
      </c>
      <c r="H353" s="4">
        <v>45</v>
      </c>
      <c r="I353" s="4">
        <v>270</v>
      </c>
      <c r="J353" t="str">
        <f>IF(Table1[[#This Row],[Revenue (£)]]&lt;500, "small", IF(Table1[[#This Row],[Revenue (£)]]&lt;2000, "medium", "Large"))</f>
        <v>small</v>
      </c>
    </row>
    <row r="354" spans="1:10" x14ac:dyDescent="0.3">
      <c r="A354">
        <v>10353</v>
      </c>
      <c r="B354" s="2">
        <v>45026</v>
      </c>
      <c r="C354" t="s">
        <v>9</v>
      </c>
      <c r="D354" t="s">
        <v>16</v>
      </c>
      <c r="E354" t="s">
        <v>21</v>
      </c>
      <c r="F354" t="s">
        <v>25</v>
      </c>
      <c r="G354">
        <v>3</v>
      </c>
      <c r="H354" s="4">
        <v>180</v>
      </c>
      <c r="I354" s="4">
        <v>540</v>
      </c>
      <c r="J354" t="str">
        <f>IF(Table1[[#This Row],[Revenue (£)]]&lt;500, "small", IF(Table1[[#This Row],[Revenue (£)]]&lt;2000, "medium", "Large"))</f>
        <v>medium</v>
      </c>
    </row>
    <row r="355" spans="1:10" x14ac:dyDescent="0.3">
      <c r="A355">
        <v>10354</v>
      </c>
      <c r="B355" s="2">
        <v>45106</v>
      </c>
      <c r="C355" t="s">
        <v>12</v>
      </c>
      <c r="D355" t="s">
        <v>14</v>
      </c>
      <c r="E355" t="s">
        <v>24</v>
      </c>
      <c r="F355" t="s">
        <v>25</v>
      </c>
      <c r="G355">
        <v>14</v>
      </c>
      <c r="H355" s="4">
        <v>30</v>
      </c>
      <c r="I355" s="4">
        <v>420</v>
      </c>
      <c r="J355" t="str">
        <f>IF(Table1[[#This Row],[Revenue (£)]]&lt;500, "small", IF(Table1[[#This Row],[Revenue (£)]]&lt;2000, "medium", "Large"))</f>
        <v>small</v>
      </c>
    </row>
    <row r="356" spans="1:10" x14ac:dyDescent="0.3">
      <c r="A356">
        <v>10355</v>
      </c>
      <c r="B356" s="2">
        <v>45149</v>
      </c>
      <c r="C356" t="s">
        <v>12</v>
      </c>
      <c r="D356" t="s">
        <v>18</v>
      </c>
      <c r="E356" t="s">
        <v>22</v>
      </c>
      <c r="F356" t="s">
        <v>25</v>
      </c>
      <c r="G356">
        <v>9</v>
      </c>
      <c r="H356" s="4">
        <v>45</v>
      </c>
      <c r="I356" s="4">
        <v>405</v>
      </c>
      <c r="J356" t="str">
        <f>IF(Table1[[#This Row],[Revenue (£)]]&lt;500, "small", IF(Table1[[#This Row],[Revenue (£)]]&lt;2000, "medium", "Large"))</f>
        <v>small</v>
      </c>
    </row>
    <row r="357" spans="1:10" x14ac:dyDescent="0.3">
      <c r="A357">
        <v>10356</v>
      </c>
      <c r="B357" s="2">
        <v>45368</v>
      </c>
      <c r="C357" t="s">
        <v>12</v>
      </c>
      <c r="D357" t="s">
        <v>16</v>
      </c>
      <c r="E357" t="s">
        <v>22</v>
      </c>
      <c r="F357" t="s">
        <v>25</v>
      </c>
      <c r="G357">
        <v>2</v>
      </c>
      <c r="H357" s="4">
        <v>45</v>
      </c>
      <c r="I357" s="4">
        <v>90</v>
      </c>
      <c r="J357" t="str">
        <f>IF(Table1[[#This Row],[Revenue (£)]]&lt;500, "small", IF(Table1[[#This Row],[Revenue (£)]]&lt;2000, "medium", "Large"))</f>
        <v>small</v>
      </c>
    </row>
    <row r="358" spans="1:10" x14ac:dyDescent="0.3">
      <c r="A358">
        <v>10357</v>
      </c>
      <c r="B358" s="2">
        <v>45251</v>
      </c>
      <c r="C358" t="s">
        <v>10</v>
      </c>
      <c r="D358" t="s">
        <v>18</v>
      </c>
      <c r="E358" t="s">
        <v>23</v>
      </c>
      <c r="F358" t="s">
        <v>26</v>
      </c>
      <c r="G358">
        <v>11</v>
      </c>
      <c r="H358" s="4">
        <v>850</v>
      </c>
      <c r="I358" s="4">
        <v>9350</v>
      </c>
      <c r="J358" t="str">
        <f>IF(Table1[[#This Row],[Revenue (£)]]&lt;500, "small", IF(Table1[[#This Row],[Revenue (£)]]&lt;2000, "medium", "Large"))</f>
        <v>Large</v>
      </c>
    </row>
    <row r="359" spans="1:10" x14ac:dyDescent="0.3">
      <c r="A359">
        <v>10358</v>
      </c>
      <c r="B359" s="2">
        <v>45442</v>
      </c>
      <c r="C359" t="s">
        <v>13</v>
      </c>
      <c r="D359" t="s">
        <v>16</v>
      </c>
      <c r="E359" t="s">
        <v>21</v>
      </c>
      <c r="F359" t="s">
        <v>25</v>
      </c>
      <c r="G359">
        <v>8</v>
      </c>
      <c r="H359" s="4">
        <v>180</v>
      </c>
      <c r="I359" s="4">
        <v>1440</v>
      </c>
      <c r="J359" t="str">
        <f>IF(Table1[[#This Row],[Revenue (£)]]&lt;500, "small", IF(Table1[[#This Row],[Revenue (£)]]&lt;2000, "medium", "Large"))</f>
        <v>medium</v>
      </c>
    </row>
    <row r="360" spans="1:10" x14ac:dyDescent="0.3">
      <c r="A360">
        <v>10359</v>
      </c>
      <c r="B360" s="2">
        <v>44942</v>
      </c>
      <c r="C360" t="s">
        <v>12</v>
      </c>
      <c r="D360" t="s">
        <v>16</v>
      </c>
      <c r="E360" t="s">
        <v>23</v>
      </c>
      <c r="F360" t="s">
        <v>26</v>
      </c>
      <c r="G360">
        <v>10</v>
      </c>
      <c r="H360" s="4">
        <v>850</v>
      </c>
      <c r="I360" s="4">
        <v>8500</v>
      </c>
      <c r="J360" t="str">
        <f>IF(Table1[[#This Row],[Revenue (£)]]&lt;500, "small", IF(Table1[[#This Row],[Revenue (£)]]&lt;2000, "medium", "Large"))</f>
        <v>Large</v>
      </c>
    </row>
    <row r="361" spans="1:10" x14ac:dyDescent="0.3">
      <c r="A361">
        <v>10360</v>
      </c>
      <c r="B361" s="2">
        <v>45262</v>
      </c>
      <c r="C361" t="s">
        <v>10</v>
      </c>
      <c r="D361" t="s">
        <v>18</v>
      </c>
      <c r="E361" t="s">
        <v>20</v>
      </c>
      <c r="F361" t="s">
        <v>26</v>
      </c>
      <c r="G361">
        <v>3</v>
      </c>
      <c r="H361" s="4">
        <v>220</v>
      </c>
      <c r="I361" s="4">
        <v>660</v>
      </c>
      <c r="J361" t="str">
        <f>IF(Table1[[#This Row],[Revenue (£)]]&lt;500, "small", IF(Table1[[#This Row],[Revenue (£)]]&lt;2000, "medium", "Large"))</f>
        <v>medium</v>
      </c>
    </row>
    <row r="362" spans="1:10" x14ac:dyDescent="0.3">
      <c r="A362">
        <v>10361</v>
      </c>
      <c r="B362" s="2">
        <v>45184</v>
      </c>
      <c r="C362" t="s">
        <v>13</v>
      </c>
      <c r="D362" t="s">
        <v>15</v>
      </c>
      <c r="E362" t="s">
        <v>23</v>
      </c>
      <c r="F362" t="s">
        <v>26</v>
      </c>
      <c r="G362">
        <v>13</v>
      </c>
      <c r="H362" s="4">
        <v>850</v>
      </c>
      <c r="I362" s="4">
        <v>11050</v>
      </c>
      <c r="J362" t="str">
        <f>IF(Table1[[#This Row],[Revenue (£)]]&lt;500, "small", IF(Table1[[#This Row],[Revenue (£)]]&lt;2000, "medium", "Large"))</f>
        <v>Large</v>
      </c>
    </row>
    <row r="363" spans="1:10" x14ac:dyDescent="0.3">
      <c r="A363">
        <v>10362</v>
      </c>
      <c r="B363" s="2">
        <v>45423</v>
      </c>
      <c r="C363" t="s">
        <v>9</v>
      </c>
      <c r="D363" t="s">
        <v>17</v>
      </c>
      <c r="E363" t="s">
        <v>23</v>
      </c>
      <c r="F363" t="s">
        <v>26</v>
      </c>
      <c r="G363">
        <v>12</v>
      </c>
      <c r="H363" s="4">
        <v>850</v>
      </c>
      <c r="I363" s="4">
        <v>10200</v>
      </c>
      <c r="J363" t="str">
        <f>IF(Table1[[#This Row],[Revenue (£)]]&lt;500, "small", IF(Table1[[#This Row],[Revenue (£)]]&lt;2000, "medium", "Large"))</f>
        <v>Large</v>
      </c>
    </row>
    <row r="364" spans="1:10" x14ac:dyDescent="0.3">
      <c r="A364">
        <v>10363</v>
      </c>
      <c r="B364" s="2">
        <v>45086</v>
      </c>
      <c r="C364" t="s">
        <v>10</v>
      </c>
      <c r="D364" t="s">
        <v>14</v>
      </c>
      <c r="E364" t="s">
        <v>24</v>
      </c>
      <c r="F364" t="s">
        <v>25</v>
      </c>
      <c r="G364">
        <v>5</v>
      </c>
      <c r="H364" s="4">
        <v>30</v>
      </c>
      <c r="I364" s="4">
        <v>150</v>
      </c>
      <c r="J364" t="str">
        <f>IF(Table1[[#This Row],[Revenue (£)]]&lt;500, "small", IF(Table1[[#This Row],[Revenue (£)]]&lt;2000, "medium", "Large"))</f>
        <v>small</v>
      </c>
    </row>
    <row r="365" spans="1:10" x14ac:dyDescent="0.3">
      <c r="A365">
        <v>10364</v>
      </c>
      <c r="B365" s="2">
        <v>45401</v>
      </c>
      <c r="C365" t="s">
        <v>11</v>
      </c>
      <c r="D365" t="s">
        <v>16</v>
      </c>
      <c r="E365" t="s">
        <v>19</v>
      </c>
      <c r="F365" t="s">
        <v>25</v>
      </c>
      <c r="G365">
        <v>6</v>
      </c>
      <c r="H365" s="4">
        <v>75</v>
      </c>
      <c r="I365" s="4">
        <v>450</v>
      </c>
      <c r="J365" t="str">
        <f>IF(Table1[[#This Row],[Revenue (£)]]&lt;500, "small", IF(Table1[[#This Row],[Revenue (£)]]&lt;2000, "medium", "Large"))</f>
        <v>small</v>
      </c>
    </row>
    <row r="366" spans="1:10" x14ac:dyDescent="0.3">
      <c r="A366">
        <v>10365</v>
      </c>
      <c r="B366" s="2">
        <v>45306</v>
      </c>
      <c r="C366" t="s">
        <v>10</v>
      </c>
      <c r="D366" t="s">
        <v>14</v>
      </c>
      <c r="E366" t="s">
        <v>22</v>
      </c>
      <c r="F366" t="s">
        <v>25</v>
      </c>
      <c r="G366">
        <v>10</v>
      </c>
      <c r="H366" s="4">
        <v>45</v>
      </c>
      <c r="I366" s="4">
        <v>450</v>
      </c>
      <c r="J366" t="str">
        <f>IF(Table1[[#This Row],[Revenue (£)]]&lt;500, "small", IF(Table1[[#This Row],[Revenue (£)]]&lt;2000, "medium", "Large"))</f>
        <v>small</v>
      </c>
    </row>
    <row r="367" spans="1:10" x14ac:dyDescent="0.3">
      <c r="A367">
        <v>10366</v>
      </c>
      <c r="B367" s="2">
        <v>45471</v>
      </c>
      <c r="C367" t="s">
        <v>10</v>
      </c>
      <c r="D367" t="s">
        <v>18</v>
      </c>
      <c r="E367" t="s">
        <v>21</v>
      </c>
      <c r="F367" t="s">
        <v>25</v>
      </c>
      <c r="G367">
        <v>6</v>
      </c>
      <c r="H367" s="4">
        <v>180</v>
      </c>
      <c r="I367" s="4">
        <v>1080</v>
      </c>
      <c r="J367" t="str">
        <f>IF(Table1[[#This Row],[Revenue (£)]]&lt;500, "small", IF(Table1[[#This Row],[Revenue (£)]]&lt;2000, "medium", "Large"))</f>
        <v>medium</v>
      </c>
    </row>
    <row r="368" spans="1:10" x14ac:dyDescent="0.3">
      <c r="A368">
        <v>10367</v>
      </c>
      <c r="B368" s="2">
        <v>45353</v>
      </c>
      <c r="C368" t="s">
        <v>13</v>
      </c>
      <c r="D368" t="s">
        <v>14</v>
      </c>
      <c r="E368" t="s">
        <v>23</v>
      </c>
      <c r="F368" t="s">
        <v>26</v>
      </c>
      <c r="G368">
        <v>4</v>
      </c>
      <c r="H368" s="4">
        <v>850</v>
      </c>
      <c r="I368" s="4">
        <v>3400</v>
      </c>
      <c r="J368" t="str">
        <f>IF(Table1[[#This Row],[Revenue (£)]]&lt;500, "small", IF(Table1[[#This Row],[Revenue (£)]]&lt;2000, "medium", "Large"))</f>
        <v>Large</v>
      </c>
    </row>
    <row r="369" spans="1:10" x14ac:dyDescent="0.3">
      <c r="A369">
        <v>10368</v>
      </c>
      <c r="B369" s="2">
        <v>45194</v>
      </c>
      <c r="C369" t="s">
        <v>9</v>
      </c>
      <c r="D369" t="s">
        <v>18</v>
      </c>
      <c r="E369" t="s">
        <v>21</v>
      </c>
      <c r="F369" t="s">
        <v>25</v>
      </c>
      <c r="G369">
        <v>3</v>
      </c>
      <c r="H369" s="4">
        <v>180</v>
      </c>
      <c r="I369" s="4">
        <v>540</v>
      </c>
      <c r="J369" t="str">
        <f>IF(Table1[[#This Row],[Revenue (£)]]&lt;500, "small", IF(Table1[[#This Row],[Revenue (£)]]&lt;2000, "medium", "Large"))</f>
        <v>medium</v>
      </c>
    </row>
    <row r="370" spans="1:10" x14ac:dyDescent="0.3">
      <c r="A370">
        <v>10369</v>
      </c>
      <c r="B370" s="2">
        <v>45343</v>
      </c>
      <c r="C370" t="s">
        <v>11</v>
      </c>
      <c r="D370" t="s">
        <v>14</v>
      </c>
      <c r="E370" t="s">
        <v>19</v>
      </c>
      <c r="F370" t="s">
        <v>25</v>
      </c>
      <c r="G370">
        <v>4</v>
      </c>
      <c r="H370" s="4">
        <v>75</v>
      </c>
      <c r="I370" s="4">
        <v>300</v>
      </c>
      <c r="J370" t="str">
        <f>IF(Table1[[#This Row],[Revenue (£)]]&lt;500, "small", IF(Table1[[#This Row],[Revenue (£)]]&lt;2000, "medium", "Large"))</f>
        <v>small</v>
      </c>
    </row>
    <row r="371" spans="1:10" x14ac:dyDescent="0.3">
      <c r="A371">
        <v>10370</v>
      </c>
      <c r="B371" s="2">
        <v>45094</v>
      </c>
      <c r="C371" t="s">
        <v>12</v>
      </c>
      <c r="D371" t="s">
        <v>17</v>
      </c>
      <c r="E371" t="s">
        <v>19</v>
      </c>
      <c r="F371" t="s">
        <v>25</v>
      </c>
      <c r="G371">
        <v>1</v>
      </c>
      <c r="H371" s="4">
        <v>75</v>
      </c>
      <c r="I371" s="4">
        <v>75</v>
      </c>
      <c r="J371" t="str">
        <f>IF(Table1[[#This Row],[Revenue (£)]]&lt;500, "small", IF(Table1[[#This Row],[Revenue (£)]]&lt;2000, "medium", "Large"))</f>
        <v>small</v>
      </c>
    </row>
    <row r="372" spans="1:10" x14ac:dyDescent="0.3">
      <c r="A372">
        <v>10371</v>
      </c>
      <c r="B372" s="2">
        <v>44969</v>
      </c>
      <c r="C372" t="s">
        <v>12</v>
      </c>
      <c r="D372" t="s">
        <v>17</v>
      </c>
      <c r="E372" t="s">
        <v>23</v>
      </c>
      <c r="F372" t="s">
        <v>26</v>
      </c>
      <c r="G372">
        <v>4</v>
      </c>
      <c r="H372" s="4">
        <v>850</v>
      </c>
      <c r="I372" s="4">
        <v>3400</v>
      </c>
      <c r="J372" t="str">
        <f>IF(Table1[[#This Row],[Revenue (£)]]&lt;500, "small", IF(Table1[[#This Row],[Revenue (£)]]&lt;2000, "medium", "Large"))</f>
        <v>Large</v>
      </c>
    </row>
    <row r="373" spans="1:10" x14ac:dyDescent="0.3">
      <c r="A373">
        <v>10372</v>
      </c>
      <c r="B373" s="2">
        <v>45211</v>
      </c>
      <c r="C373" t="s">
        <v>10</v>
      </c>
      <c r="D373" t="s">
        <v>17</v>
      </c>
      <c r="E373" t="s">
        <v>20</v>
      </c>
      <c r="F373" t="s">
        <v>26</v>
      </c>
      <c r="G373">
        <v>1</v>
      </c>
      <c r="H373" s="4">
        <v>220</v>
      </c>
      <c r="I373" s="4">
        <v>220</v>
      </c>
      <c r="J373" t="str">
        <f>IF(Table1[[#This Row],[Revenue (£)]]&lt;500, "small", IF(Table1[[#This Row],[Revenue (£)]]&lt;2000, "medium", "Large"))</f>
        <v>small</v>
      </c>
    </row>
    <row r="374" spans="1:10" x14ac:dyDescent="0.3">
      <c r="A374">
        <v>10373</v>
      </c>
      <c r="B374" s="2">
        <v>45323</v>
      </c>
      <c r="C374" t="s">
        <v>13</v>
      </c>
      <c r="D374" t="s">
        <v>17</v>
      </c>
      <c r="E374" t="s">
        <v>23</v>
      </c>
      <c r="F374" t="s">
        <v>26</v>
      </c>
      <c r="G374">
        <v>12</v>
      </c>
      <c r="H374" s="4">
        <v>850</v>
      </c>
      <c r="I374" s="4">
        <v>10200</v>
      </c>
      <c r="J374" t="str">
        <f>IF(Table1[[#This Row],[Revenue (£)]]&lt;500, "small", IF(Table1[[#This Row],[Revenue (£)]]&lt;2000, "medium", "Large"))</f>
        <v>Large</v>
      </c>
    </row>
    <row r="375" spans="1:10" x14ac:dyDescent="0.3">
      <c r="A375">
        <v>10374</v>
      </c>
      <c r="B375" s="2">
        <v>44938</v>
      </c>
      <c r="C375" t="s">
        <v>13</v>
      </c>
      <c r="D375" t="s">
        <v>17</v>
      </c>
      <c r="E375" t="s">
        <v>24</v>
      </c>
      <c r="F375" t="s">
        <v>25</v>
      </c>
      <c r="G375">
        <v>1</v>
      </c>
      <c r="H375" s="4">
        <v>30</v>
      </c>
      <c r="I375" s="4">
        <v>30</v>
      </c>
      <c r="J375" t="str">
        <f>IF(Table1[[#This Row],[Revenue (£)]]&lt;500, "small", IF(Table1[[#This Row],[Revenue (£)]]&lt;2000, "medium", "Large"))</f>
        <v>small</v>
      </c>
    </row>
    <row r="376" spans="1:10" x14ac:dyDescent="0.3">
      <c r="A376">
        <v>10375</v>
      </c>
      <c r="B376" s="2">
        <v>45228</v>
      </c>
      <c r="C376" t="s">
        <v>12</v>
      </c>
      <c r="D376" t="s">
        <v>17</v>
      </c>
      <c r="E376" t="s">
        <v>22</v>
      </c>
      <c r="F376" t="s">
        <v>25</v>
      </c>
      <c r="G376">
        <v>10</v>
      </c>
      <c r="H376" s="4">
        <v>45</v>
      </c>
      <c r="I376" s="4">
        <v>450</v>
      </c>
      <c r="J376" t="str">
        <f>IF(Table1[[#This Row],[Revenue (£)]]&lt;500, "small", IF(Table1[[#This Row],[Revenue (£)]]&lt;2000, "medium", "Large"))</f>
        <v>small</v>
      </c>
    </row>
    <row r="377" spans="1:10" x14ac:dyDescent="0.3">
      <c r="A377">
        <v>10376</v>
      </c>
      <c r="B377" s="2">
        <v>45179</v>
      </c>
      <c r="C377" t="s">
        <v>11</v>
      </c>
      <c r="D377" t="s">
        <v>18</v>
      </c>
      <c r="E377" t="s">
        <v>20</v>
      </c>
      <c r="F377" t="s">
        <v>26</v>
      </c>
      <c r="G377">
        <v>14</v>
      </c>
      <c r="H377" s="4">
        <v>220</v>
      </c>
      <c r="I377" s="4">
        <v>3080</v>
      </c>
      <c r="J377" t="str">
        <f>IF(Table1[[#This Row],[Revenue (£)]]&lt;500, "small", IF(Table1[[#This Row],[Revenue (£)]]&lt;2000, "medium", "Large"))</f>
        <v>Large</v>
      </c>
    </row>
    <row r="378" spans="1:10" x14ac:dyDescent="0.3">
      <c r="A378">
        <v>10377</v>
      </c>
      <c r="B378" s="2">
        <v>45425</v>
      </c>
      <c r="C378" t="s">
        <v>9</v>
      </c>
      <c r="D378" t="s">
        <v>16</v>
      </c>
      <c r="E378" t="s">
        <v>23</v>
      </c>
      <c r="F378" t="s">
        <v>26</v>
      </c>
      <c r="G378">
        <v>6</v>
      </c>
      <c r="H378" s="4">
        <v>850</v>
      </c>
      <c r="I378" s="4">
        <v>5100</v>
      </c>
      <c r="J378" t="str">
        <f>IF(Table1[[#This Row],[Revenue (£)]]&lt;500, "small", IF(Table1[[#This Row],[Revenue (£)]]&lt;2000, "medium", "Large"))</f>
        <v>Large</v>
      </c>
    </row>
    <row r="379" spans="1:10" x14ac:dyDescent="0.3">
      <c r="A379">
        <v>10378</v>
      </c>
      <c r="B379" s="2">
        <v>44961</v>
      </c>
      <c r="C379" t="s">
        <v>11</v>
      </c>
      <c r="D379" t="s">
        <v>14</v>
      </c>
      <c r="E379" t="s">
        <v>21</v>
      </c>
      <c r="F379" t="s">
        <v>25</v>
      </c>
      <c r="G379">
        <v>5</v>
      </c>
      <c r="H379" s="4">
        <v>180</v>
      </c>
      <c r="I379" s="4">
        <v>900</v>
      </c>
      <c r="J379" t="str">
        <f>IF(Table1[[#This Row],[Revenue (£)]]&lt;500, "small", IF(Table1[[#This Row],[Revenue (£)]]&lt;2000, "medium", "Large"))</f>
        <v>medium</v>
      </c>
    </row>
    <row r="380" spans="1:10" x14ac:dyDescent="0.3">
      <c r="A380">
        <v>10379</v>
      </c>
      <c r="B380" s="2">
        <v>45016</v>
      </c>
      <c r="C380" t="s">
        <v>9</v>
      </c>
      <c r="D380" t="s">
        <v>17</v>
      </c>
      <c r="E380" t="s">
        <v>20</v>
      </c>
      <c r="F380" t="s">
        <v>26</v>
      </c>
      <c r="G380">
        <v>14</v>
      </c>
      <c r="H380" s="4">
        <v>220</v>
      </c>
      <c r="I380" s="4">
        <v>3080</v>
      </c>
      <c r="J380" t="str">
        <f>IF(Table1[[#This Row],[Revenue (£)]]&lt;500, "small", IF(Table1[[#This Row],[Revenue (£)]]&lt;2000, "medium", "Large"))</f>
        <v>Large</v>
      </c>
    </row>
    <row r="381" spans="1:10" x14ac:dyDescent="0.3">
      <c r="A381">
        <v>10380</v>
      </c>
      <c r="B381" s="2">
        <v>45344</v>
      </c>
      <c r="C381" t="s">
        <v>12</v>
      </c>
      <c r="D381" t="s">
        <v>18</v>
      </c>
      <c r="E381" t="s">
        <v>20</v>
      </c>
      <c r="F381" t="s">
        <v>26</v>
      </c>
      <c r="G381">
        <v>11</v>
      </c>
      <c r="H381" s="4">
        <v>220</v>
      </c>
      <c r="I381" s="4">
        <v>2420</v>
      </c>
      <c r="J381" t="str">
        <f>IF(Table1[[#This Row],[Revenue (£)]]&lt;500, "small", IF(Table1[[#This Row],[Revenue (£)]]&lt;2000, "medium", "Large"))</f>
        <v>Large</v>
      </c>
    </row>
    <row r="382" spans="1:10" x14ac:dyDescent="0.3">
      <c r="A382">
        <v>10381</v>
      </c>
      <c r="B382" s="2">
        <v>45041</v>
      </c>
      <c r="C382" t="s">
        <v>9</v>
      </c>
      <c r="D382" t="s">
        <v>18</v>
      </c>
      <c r="E382" t="s">
        <v>23</v>
      </c>
      <c r="F382" t="s">
        <v>26</v>
      </c>
      <c r="G382">
        <v>4</v>
      </c>
      <c r="H382" s="4">
        <v>850</v>
      </c>
      <c r="I382" s="4">
        <v>3400</v>
      </c>
      <c r="J382" t="str">
        <f>IF(Table1[[#This Row],[Revenue (£)]]&lt;500, "small", IF(Table1[[#This Row],[Revenue (£)]]&lt;2000, "medium", "Large"))</f>
        <v>Large</v>
      </c>
    </row>
    <row r="383" spans="1:10" x14ac:dyDescent="0.3">
      <c r="A383">
        <v>10382</v>
      </c>
      <c r="B383" s="2">
        <v>45122</v>
      </c>
      <c r="C383" t="s">
        <v>13</v>
      </c>
      <c r="D383" t="s">
        <v>18</v>
      </c>
      <c r="E383" t="s">
        <v>20</v>
      </c>
      <c r="F383" t="s">
        <v>26</v>
      </c>
      <c r="G383">
        <v>13</v>
      </c>
      <c r="H383" s="4">
        <v>220</v>
      </c>
      <c r="I383" s="4">
        <v>2860</v>
      </c>
      <c r="J383" t="str">
        <f>IF(Table1[[#This Row],[Revenue (£)]]&lt;500, "small", IF(Table1[[#This Row],[Revenue (£)]]&lt;2000, "medium", "Large"))</f>
        <v>Large</v>
      </c>
    </row>
    <row r="384" spans="1:10" x14ac:dyDescent="0.3">
      <c r="A384">
        <v>10383</v>
      </c>
      <c r="B384" s="2">
        <v>45427</v>
      </c>
      <c r="C384" t="s">
        <v>10</v>
      </c>
      <c r="D384" t="s">
        <v>16</v>
      </c>
      <c r="E384" t="s">
        <v>21</v>
      </c>
      <c r="F384" t="s">
        <v>25</v>
      </c>
      <c r="G384">
        <v>11</v>
      </c>
      <c r="H384" s="4">
        <v>180</v>
      </c>
      <c r="I384" s="4">
        <v>1980</v>
      </c>
      <c r="J384" t="str">
        <f>IF(Table1[[#This Row],[Revenue (£)]]&lt;500, "small", IF(Table1[[#This Row],[Revenue (£)]]&lt;2000, "medium", "Large"))</f>
        <v>medium</v>
      </c>
    </row>
    <row r="385" spans="1:10" x14ac:dyDescent="0.3">
      <c r="A385">
        <v>10384</v>
      </c>
      <c r="B385" s="2">
        <v>45419</v>
      </c>
      <c r="C385" t="s">
        <v>10</v>
      </c>
      <c r="D385" t="s">
        <v>14</v>
      </c>
      <c r="E385" t="s">
        <v>19</v>
      </c>
      <c r="F385" t="s">
        <v>25</v>
      </c>
      <c r="G385">
        <v>3</v>
      </c>
      <c r="H385" s="4">
        <v>75</v>
      </c>
      <c r="I385" s="4">
        <v>225</v>
      </c>
      <c r="J385" t="str">
        <f>IF(Table1[[#This Row],[Revenue (£)]]&lt;500, "small", IF(Table1[[#This Row],[Revenue (£)]]&lt;2000, "medium", "Large"))</f>
        <v>small</v>
      </c>
    </row>
    <row r="386" spans="1:10" x14ac:dyDescent="0.3">
      <c r="A386">
        <v>10385</v>
      </c>
      <c r="B386" s="2">
        <v>45001</v>
      </c>
      <c r="C386" t="s">
        <v>12</v>
      </c>
      <c r="D386" t="s">
        <v>16</v>
      </c>
      <c r="E386" t="s">
        <v>20</v>
      </c>
      <c r="F386" t="s">
        <v>26</v>
      </c>
      <c r="G386">
        <v>1</v>
      </c>
      <c r="H386" s="4">
        <v>220</v>
      </c>
      <c r="I386" s="4">
        <v>220</v>
      </c>
      <c r="J386" t="str">
        <f>IF(Table1[[#This Row],[Revenue (£)]]&lt;500, "small", IF(Table1[[#This Row],[Revenue (£)]]&lt;2000, "medium", "Large"))</f>
        <v>small</v>
      </c>
    </row>
    <row r="387" spans="1:10" x14ac:dyDescent="0.3">
      <c r="A387">
        <v>10386</v>
      </c>
      <c r="B387" s="2">
        <v>45339</v>
      </c>
      <c r="C387" t="s">
        <v>13</v>
      </c>
      <c r="D387" t="s">
        <v>15</v>
      </c>
      <c r="E387" t="s">
        <v>19</v>
      </c>
      <c r="F387" t="s">
        <v>25</v>
      </c>
      <c r="G387">
        <v>6</v>
      </c>
      <c r="H387" s="4">
        <v>75</v>
      </c>
      <c r="I387" s="4">
        <v>450</v>
      </c>
      <c r="J387" t="str">
        <f>IF(Table1[[#This Row],[Revenue (£)]]&lt;500, "small", IF(Table1[[#This Row],[Revenue (£)]]&lt;2000, "medium", "Large"))</f>
        <v>small</v>
      </c>
    </row>
    <row r="388" spans="1:10" x14ac:dyDescent="0.3">
      <c r="A388">
        <v>10387</v>
      </c>
      <c r="B388" s="2">
        <v>45302</v>
      </c>
      <c r="C388" t="s">
        <v>11</v>
      </c>
      <c r="D388" t="s">
        <v>18</v>
      </c>
      <c r="E388" t="s">
        <v>21</v>
      </c>
      <c r="F388" t="s">
        <v>25</v>
      </c>
      <c r="G388">
        <v>2</v>
      </c>
      <c r="H388" s="4">
        <v>180</v>
      </c>
      <c r="I388" s="4">
        <v>360</v>
      </c>
      <c r="J388" t="str">
        <f>IF(Table1[[#This Row],[Revenue (£)]]&lt;500, "small", IF(Table1[[#This Row],[Revenue (£)]]&lt;2000, "medium", "Large"))</f>
        <v>small</v>
      </c>
    </row>
    <row r="389" spans="1:10" x14ac:dyDescent="0.3">
      <c r="A389">
        <v>10388</v>
      </c>
      <c r="B389" s="2">
        <v>45346</v>
      </c>
      <c r="C389" t="s">
        <v>13</v>
      </c>
      <c r="D389" t="s">
        <v>15</v>
      </c>
      <c r="E389" t="s">
        <v>23</v>
      </c>
      <c r="F389" t="s">
        <v>26</v>
      </c>
      <c r="G389">
        <v>8</v>
      </c>
      <c r="H389" s="4">
        <v>850</v>
      </c>
      <c r="I389" s="4">
        <v>6800</v>
      </c>
      <c r="J389" t="str">
        <f>IF(Table1[[#This Row],[Revenue (£)]]&lt;500, "small", IF(Table1[[#This Row],[Revenue (£)]]&lt;2000, "medium", "Large"))</f>
        <v>Large</v>
      </c>
    </row>
    <row r="390" spans="1:10" x14ac:dyDescent="0.3">
      <c r="A390">
        <v>10389</v>
      </c>
      <c r="B390" s="2">
        <v>45203</v>
      </c>
      <c r="C390" t="s">
        <v>10</v>
      </c>
      <c r="D390" t="s">
        <v>17</v>
      </c>
      <c r="E390" t="s">
        <v>22</v>
      </c>
      <c r="F390" t="s">
        <v>25</v>
      </c>
      <c r="G390">
        <v>10</v>
      </c>
      <c r="H390" s="4">
        <v>45</v>
      </c>
      <c r="I390" s="4">
        <v>450</v>
      </c>
      <c r="J390" t="str">
        <f>IF(Table1[[#This Row],[Revenue (£)]]&lt;500, "small", IF(Table1[[#This Row],[Revenue (£)]]&lt;2000, "medium", "Large"))</f>
        <v>small</v>
      </c>
    </row>
    <row r="391" spans="1:10" x14ac:dyDescent="0.3">
      <c r="A391">
        <v>10390</v>
      </c>
      <c r="B391" s="2">
        <v>45320</v>
      </c>
      <c r="C391" t="s">
        <v>10</v>
      </c>
      <c r="D391" t="s">
        <v>17</v>
      </c>
      <c r="E391" t="s">
        <v>20</v>
      </c>
      <c r="F391" t="s">
        <v>26</v>
      </c>
      <c r="G391">
        <v>5</v>
      </c>
      <c r="H391" s="4">
        <v>220</v>
      </c>
      <c r="I391" s="4">
        <v>1100</v>
      </c>
      <c r="J391" t="str">
        <f>IF(Table1[[#This Row],[Revenue (£)]]&lt;500, "small", IF(Table1[[#This Row],[Revenue (£)]]&lt;2000, "medium", "Large"))</f>
        <v>medium</v>
      </c>
    </row>
    <row r="392" spans="1:10" x14ac:dyDescent="0.3">
      <c r="A392">
        <v>10391</v>
      </c>
      <c r="B392" s="2">
        <v>45383</v>
      </c>
      <c r="C392" t="s">
        <v>13</v>
      </c>
      <c r="D392" t="s">
        <v>16</v>
      </c>
      <c r="E392" t="s">
        <v>22</v>
      </c>
      <c r="F392" t="s">
        <v>25</v>
      </c>
      <c r="G392">
        <v>7</v>
      </c>
      <c r="H392" s="4">
        <v>45</v>
      </c>
      <c r="I392" s="4">
        <v>315</v>
      </c>
      <c r="J392" t="str">
        <f>IF(Table1[[#This Row],[Revenue (£)]]&lt;500, "small", IF(Table1[[#This Row],[Revenue (£)]]&lt;2000, "medium", "Large"))</f>
        <v>small</v>
      </c>
    </row>
    <row r="393" spans="1:10" x14ac:dyDescent="0.3">
      <c r="A393">
        <v>10392</v>
      </c>
      <c r="B393" s="2">
        <v>45118</v>
      </c>
      <c r="C393" t="s">
        <v>13</v>
      </c>
      <c r="D393" t="s">
        <v>14</v>
      </c>
      <c r="E393" t="s">
        <v>21</v>
      </c>
      <c r="F393" t="s">
        <v>25</v>
      </c>
      <c r="G393">
        <v>10</v>
      </c>
      <c r="H393" s="4">
        <v>180</v>
      </c>
      <c r="I393" s="4">
        <v>1800</v>
      </c>
      <c r="J393" t="str">
        <f>IF(Table1[[#This Row],[Revenue (£)]]&lt;500, "small", IF(Table1[[#This Row],[Revenue (£)]]&lt;2000, "medium", "Large"))</f>
        <v>medium</v>
      </c>
    </row>
    <row r="394" spans="1:10" x14ac:dyDescent="0.3">
      <c r="A394">
        <v>10393</v>
      </c>
      <c r="B394" s="2">
        <v>45025</v>
      </c>
      <c r="C394" t="s">
        <v>10</v>
      </c>
      <c r="D394" t="s">
        <v>15</v>
      </c>
      <c r="E394" t="s">
        <v>20</v>
      </c>
      <c r="F394" t="s">
        <v>26</v>
      </c>
      <c r="G394">
        <v>12</v>
      </c>
      <c r="H394" s="4">
        <v>220</v>
      </c>
      <c r="I394" s="4">
        <v>2640</v>
      </c>
      <c r="J394" t="str">
        <f>IF(Table1[[#This Row],[Revenue (£)]]&lt;500, "small", IF(Table1[[#This Row],[Revenue (£)]]&lt;2000, "medium", "Large"))</f>
        <v>Large</v>
      </c>
    </row>
    <row r="395" spans="1:10" x14ac:dyDescent="0.3">
      <c r="A395">
        <v>10394</v>
      </c>
      <c r="B395" s="2">
        <v>45022</v>
      </c>
      <c r="C395" t="s">
        <v>11</v>
      </c>
      <c r="D395" t="s">
        <v>14</v>
      </c>
      <c r="E395" t="s">
        <v>19</v>
      </c>
      <c r="F395" t="s">
        <v>25</v>
      </c>
      <c r="G395">
        <v>2</v>
      </c>
      <c r="H395" s="4">
        <v>75</v>
      </c>
      <c r="I395" s="4">
        <v>150</v>
      </c>
      <c r="J395" t="str">
        <f>IF(Table1[[#This Row],[Revenue (£)]]&lt;500, "small", IF(Table1[[#This Row],[Revenue (£)]]&lt;2000, "medium", "Large"))</f>
        <v>small</v>
      </c>
    </row>
    <row r="396" spans="1:10" x14ac:dyDescent="0.3">
      <c r="A396">
        <v>10395</v>
      </c>
      <c r="B396" s="2">
        <v>45116</v>
      </c>
      <c r="C396" t="s">
        <v>12</v>
      </c>
      <c r="D396" t="s">
        <v>16</v>
      </c>
      <c r="E396" t="s">
        <v>24</v>
      </c>
      <c r="F396" t="s">
        <v>25</v>
      </c>
      <c r="G396">
        <v>13</v>
      </c>
      <c r="H396" s="4">
        <v>30</v>
      </c>
      <c r="I396" s="4">
        <v>390</v>
      </c>
      <c r="J396" t="str">
        <f>IF(Table1[[#This Row],[Revenue (£)]]&lt;500, "small", IF(Table1[[#This Row],[Revenue (£)]]&lt;2000, "medium", "Large"))</f>
        <v>small</v>
      </c>
    </row>
    <row r="397" spans="1:10" x14ac:dyDescent="0.3">
      <c r="A397">
        <v>10396</v>
      </c>
      <c r="B397" s="2">
        <v>44963</v>
      </c>
      <c r="C397" t="s">
        <v>12</v>
      </c>
      <c r="D397" t="s">
        <v>17</v>
      </c>
      <c r="E397" t="s">
        <v>22</v>
      </c>
      <c r="F397" t="s">
        <v>25</v>
      </c>
      <c r="G397">
        <v>8</v>
      </c>
      <c r="H397" s="4">
        <v>45</v>
      </c>
      <c r="I397" s="4">
        <v>360</v>
      </c>
      <c r="J397" t="str">
        <f>IF(Table1[[#This Row],[Revenue (£)]]&lt;500, "small", IF(Table1[[#This Row],[Revenue (£)]]&lt;2000, "medium", "Large"))</f>
        <v>small</v>
      </c>
    </row>
    <row r="398" spans="1:10" x14ac:dyDescent="0.3">
      <c r="A398">
        <v>10397</v>
      </c>
      <c r="B398" s="2">
        <v>45295</v>
      </c>
      <c r="C398" t="s">
        <v>13</v>
      </c>
      <c r="D398" t="s">
        <v>14</v>
      </c>
      <c r="E398" t="s">
        <v>20</v>
      </c>
      <c r="F398" t="s">
        <v>26</v>
      </c>
      <c r="G398">
        <v>2</v>
      </c>
      <c r="H398" s="4">
        <v>220</v>
      </c>
      <c r="I398" s="4">
        <v>440</v>
      </c>
      <c r="J398" t="str">
        <f>IF(Table1[[#This Row],[Revenue (£)]]&lt;500, "small", IF(Table1[[#This Row],[Revenue (£)]]&lt;2000, "medium", "Large"))</f>
        <v>small</v>
      </c>
    </row>
    <row r="399" spans="1:10" x14ac:dyDescent="0.3">
      <c r="A399">
        <v>10398</v>
      </c>
      <c r="B399" s="2">
        <v>45451</v>
      </c>
      <c r="C399" t="s">
        <v>12</v>
      </c>
      <c r="D399" t="s">
        <v>14</v>
      </c>
      <c r="E399" t="s">
        <v>22</v>
      </c>
      <c r="F399" t="s">
        <v>25</v>
      </c>
      <c r="G399">
        <v>4</v>
      </c>
      <c r="H399" s="4">
        <v>45</v>
      </c>
      <c r="I399" s="4">
        <v>180</v>
      </c>
      <c r="J399" t="str">
        <f>IF(Table1[[#This Row],[Revenue (£)]]&lt;500, "small", IF(Table1[[#This Row],[Revenue (£)]]&lt;2000, "medium", "Large"))</f>
        <v>small</v>
      </c>
    </row>
    <row r="400" spans="1:10" x14ac:dyDescent="0.3">
      <c r="A400">
        <v>10399</v>
      </c>
      <c r="B400" s="2">
        <v>45205</v>
      </c>
      <c r="C400" t="s">
        <v>10</v>
      </c>
      <c r="D400" t="s">
        <v>17</v>
      </c>
      <c r="E400" t="s">
        <v>20</v>
      </c>
      <c r="F400" t="s">
        <v>26</v>
      </c>
      <c r="G400">
        <v>1</v>
      </c>
      <c r="H400" s="4">
        <v>220</v>
      </c>
      <c r="I400" s="4">
        <v>220</v>
      </c>
      <c r="J400" t="str">
        <f>IF(Table1[[#This Row],[Revenue (£)]]&lt;500, "small", IF(Table1[[#This Row],[Revenue (£)]]&lt;2000, "medium", "Large"))</f>
        <v>small</v>
      </c>
    </row>
    <row r="401" spans="1:10" x14ac:dyDescent="0.3">
      <c r="A401">
        <v>10400</v>
      </c>
      <c r="B401" s="2">
        <v>45143</v>
      </c>
      <c r="C401" t="s">
        <v>10</v>
      </c>
      <c r="D401" t="s">
        <v>15</v>
      </c>
      <c r="E401" t="s">
        <v>23</v>
      </c>
      <c r="F401" t="s">
        <v>26</v>
      </c>
      <c r="G401">
        <v>5</v>
      </c>
      <c r="H401" s="4">
        <v>850</v>
      </c>
      <c r="I401" s="4">
        <v>4250</v>
      </c>
      <c r="J401" t="str">
        <f>IF(Table1[[#This Row],[Revenue (£)]]&lt;500, "small", IF(Table1[[#This Row],[Revenue (£)]]&lt;2000, "medium", "Large"))</f>
        <v>Large</v>
      </c>
    </row>
    <row r="402" spans="1:10" x14ac:dyDescent="0.3">
      <c r="A402">
        <v>10401</v>
      </c>
      <c r="B402" s="2">
        <v>45199</v>
      </c>
      <c r="C402" t="s">
        <v>13</v>
      </c>
      <c r="D402" t="s">
        <v>17</v>
      </c>
      <c r="E402" t="s">
        <v>19</v>
      </c>
      <c r="F402" t="s">
        <v>25</v>
      </c>
      <c r="G402">
        <v>9</v>
      </c>
      <c r="H402" s="4">
        <v>75</v>
      </c>
      <c r="I402" s="4">
        <v>675</v>
      </c>
      <c r="J402" t="str">
        <f>IF(Table1[[#This Row],[Revenue (£)]]&lt;500, "small", IF(Table1[[#This Row],[Revenue (£)]]&lt;2000, "medium", "Large"))</f>
        <v>medium</v>
      </c>
    </row>
    <row r="403" spans="1:10" x14ac:dyDescent="0.3">
      <c r="A403">
        <v>10402</v>
      </c>
      <c r="B403" s="2">
        <v>44988</v>
      </c>
      <c r="C403" t="s">
        <v>13</v>
      </c>
      <c r="D403" t="s">
        <v>14</v>
      </c>
      <c r="E403" t="s">
        <v>22</v>
      </c>
      <c r="F403" t="s">
        <v>25</v>
      </c>
      <c r="G403">
        <v>1</v>
      </c>
      <c r="H403" s="4">
        <v>45</v>
      </c>
      <c r="I403" s="4">
        <v>45</v>
      </c>
      <c r="J403" t="str">
        <f>IF(Table1[[#This Row],[Revenue (£)]]&lt;500, "small", IF(Table1[[#This Row],[Revenue (£)]]&lt;2000, "medium", "Large"))</f>
        <v>small</v>
      </c>
    </row>
    <row r="404" spans="1:10" x14ac:dyDescent="0.3">
      <c r="A404">
        <v>10403</v>
      </c>
      <c r="B404" s="2">
        <v>45268</v>
      </c>
      <c r="C404" t="s">
        <v>13</v>
      </c>
      <c r="D404" t="s">
        <v>15</v>
      </c>
      <c r="E404" t="s">
        <v>24</v>
      </c>
      <c r="F404" t="s">
        <v>25</v>
      </c>
      <c r="G404">
        <v>9</v>
      </c>
      <c r="H404" s="4">
        <v>30</v>
      </c>
      <c r="I404" s="4">
        <v>270</v>
      </c>
      <c r="J404" t="str">
        <f>IF(Table1[[#This Row],[Revenue (£)]]&lt;500, "small", IF(Table1[[#This Row],[Revenue (£)]]&lt;2000, "medium", "Large"))</f>
        <v>small</v>
      </c>
    </row>
    <row r="405" spans="1:10" x14ac:dyDescent="0.3">
      <c r="A405">
        <v>10404</v>
      </c>
      <c r="B405" s="2">
        <v>45323</v>
      </c>
      <c r="C405" t="s">
        <v>11</v>
      </c>
      <c r="D405" t="s">
        <v>15</v>
      </c>
      <c r="E405" t="s">
        <v>24</v>
      </c>
      <c r="F405" t="s">
        <v>25</v>
      </c>
      <c r="G405">
        <v>11</v>
      </c>
      <c r="H405" s="4">
        <v>30</v>
      </c>
      <c r="I405" s="4">
        <v>330</v>
      </c>
      <c r="J405" t="str">
        <f>IF(Table1[[#This Row],[Revenue (£)]]&lt;500, "small", IF(Table1[[#This Row],[Revenue (£)]]&lt;2000, "medium", "Large"))</f>
        <v>small</v>
      </c>
    </row>
    <row r="406" spans="1:10" x14ac:dyDescent="0.3">
      <c r="A406">
        <v>10405</v>
      </c>
      <c r="B406" s="2">
        <v>44945</v>
      </c>
      <c r="C406" t="s">
        <v>12</v>
      </c>
      <c r="D406" t="s">
        <v>17</v>
      </c>
      <c r="E406" t="s">
        <v>21</v>
      </c>
      <c r="F406" t="s">
        <v>25</v>
      </c>
      <c r="G406">
        <v>8</v>
      </c>
      <c r="H406" s="4">
        <v>180</v>
      </c>
      <c r="I406" s="4">
        <v>1440</v>
      </c>
      <c r="J406" t="str">
        <f>IF(Table1[[#This Row],[Revenue (£)]]&lt;500, "small", IF(Table1[[#This Row],[Revenue (£)]]&lt;2000, "medium", "Large"))</f>
        <v>medium</v>
      </c>
    </row>
    <row r="407" spans="1:10" x14ac:dyDescent="0.3">
      <c r="A407">
        <v>10406</v>
      </c>
      <c r="B407" s="2">
        <v>45103</v>
      </c>
      <c r="C407" t="s">
        <v>13</v>
      </c>
      <c r="D407" t="s">
        <v>14</v>
      </c>
      <c r="E407" t="s">
        <v>20</v>
      </c>
      <c r="F407" t="s">
        <v>26</v>
      </c>
      <c r="G407">
        <v>6</v>
      </c>
      <c r="H407" s="4">
        <v>220</v>
      </c>
      <c r="I407" s="4">
        <v>1320</v>
      </c>
      <c r="J407" t="str">
        <f>IF(Table1[[#This Row],[Revenue (£)]]&lt;500, "small", IF(Table1[[#This Row],[Revenue (£)]]&lt;2000, "medium", "Large"))</f>
        <v>medium</v>
      </c>
    </row>
    <row r="408" spans="1:10" x14ac:dyDescent="0.3">
      <c r="A408">
        <v>10407</v>
      </c>
      <c r="B408" s="2">
        <v>45322</v>
      </c>
      <c r="C408" t="s">
        <v>9</v>
      </c>
      <c r="D408" t="s">
        <v>16</v>
      </c>
      <c r="E408" t="s">
        <v>22</v>
      </c>
      <c r="F408" t="s">
        <v>25</v>
      </c>
      <c r="G408">
        <v>7</v>
      </c>
      <c r="H408" s="4">
        <v>45</v>
      </c>
      <c r="I408" s="4">
        <v>315</v>
      </c>
      <c r="J408" t="str">
        <f>IF(Table1[[#This Row],[Revenue (£)]]&lt;500, "small", IF(Table1[[#This Row],[Revenue (£)]]&lt;2000, "medium", "Large"))</f>
        <v>small</v>
      </c>
    </row>
    <row r="409" spans="1:10" x14ac:dyDescent="0.3">
      <c r="A409">
        <v>10408</v>
      </c>
      <c r="B409" s="2">
        <v>45371</v>
      </c>
      <c r="C409" t="s">
        <v>9</v>
      </c>
      <c r="D409" t="s">
        <v>14</v>
      </c>
      <c r="E409" t="s">
        <v>21</v>
      </c>
      <c r="F409" t="s">
        <v>25</v>
      </c>
      <c r="G409">
        <v>3</v>
      </c>
      <c r="H409" s="4">
        <v>180</v>
      </c>
      <c r="I409" s="4">
        <v>540</v>
      </c>
      <c r="J409" t="str">
        <f>IF(Table1[[#This Row],[Revenue (£)]]&lt;500, "small", IF(Table1[[#This Row],[Revenue (£)]]&lt;2000, "medium", "Large"))</f>
        <v>medium</v>
      </c>
    </row>
    <row r="410" spans="1:10" x14ac:dyDescent="0.3">
      <c r="A410">
        <v>10409</v>
      </c>
      <c r="B410" s="2">
        <v>45159</v>
      </c>
      <c r="C410" t="s">
        <v>10</v>
      </c>
      <c r="D410" t="s">
        <v>18</v>
      </c>
      <c r="E410" t="s">
        <v>22</v>
      </c>
      <c r="F410" t="s">
        <v>25</v>
      </c>
      <c r="G410">
        <v>14</v>
      </c>
      <c r="H410" s="4">
        <v>45</v>
      </c>
      <c r="I410" s="4">
        <v>630</v>
      </c>
      <c r="J410" t="str">
        <f>IF(Table1[[#This Row],[Revenue (£)]]&lt;500, "small", IF(Table1[[#This Row],[Revenue (£)]]&lt;2000, "medium", "Large"))</f>
        <v>medium</v>
      </c>
    </row>
    <row r="411" spans="1:10" x14ac:dyDescent="0.3">
      <c r="A411">
        <v>10410</v>
      </c>
      <c r="B411" s="2">
        <v>45002</v>
      </c>
      <c r="C411" t="s">
        <v>12</v>
      </c>
      <c r="D411" t="s">
        <v>16</v>
      </c>
      <c r="E411" t="s">
        <v>20</v>
      </c>
      <c r="F411" t="s">
        <v>26</v>
      </c>
      <c r="G411">
        <v>1</v>
      </c>
      <c r="H411" s="4">
        <v>220</v>
      </c>
      <c r="I411" s="4">
        <v>220</v>
      </c>
      <c r="J411" t="str">
        <f>IF(Table1[[#This Row],[Revenue (£)]]&lt;500, "small", IF(Table1[[#This Row],[Revenue (£)]]&lt;2000, "medium", "Large"))</f>
        <v>small</v>
      </c>
    </row>
    <row r="412" spans="1:10" x14ac:dyDescent="0.3">
      <c r="A412">
        <v>10411</v>
      </c>
      <c r="B412" s="2">
        <v>45191</v>
      </c>
      <c r="C412" t="s">
        <v>13</v>
      </c>
      <c r="D412" t="s">
        <v>15</v>
      </c>
      <c r="E412" t="s">
        <v>24</v>
      </c>
      <c r="F412" t="s">
        <v>25</v>
      </c>
      <c r="G412">
        <v>5</v>
      </c>
      <c r="H412" s="4">
        <v>30</v>
      </c>
      <c r="I412" s="4">
        <v>150</v>
      </c>
      <c r="J412" t="str">
        <f>IF(Table1[[#This Row],[Revenue (£)]]&lt;500, "small", IF(Table1[[#This Row],[Revenue (£)]]&lt;2000, "medium", "Large"))</f>
        <v>small</v>
      </c>
    </row>
    <row r="413" spans="1:10" x14ac:dyDescent="0.3">
      <c r="A413">
        <v>10412</v>
      </c>
      <c r="B413" s="2">
        <v>45381</v>
      </c>
      <c r="C413" t="s">
        <v>9</v>
      </c>
      <c r="D413" t="s">
        <v>16</v>
      </c>
      <c r="E413" t="s">
        <v>23</v>
      </c>
      <c r="F413" t="s">
        <v>26</v>
      </c>
      <c r="G413">
        <v>14</v>
      </c>
      <c r="H413" s="4">
        <v>850</v>
      </c>
      <c r="I413" s="4">
        <v>11900</v>
      </c>
      <c r="J413" t="str">
        <f>IF(Table1[[#This Row],[Revenue (£)]]&lt;500, "small", IF(Table1[[#This Row],[Revenue (£)]]&lt;2000, "medium", "Large"))</f>
        <v>Large</v>
      </c>
    </row>
    <row r="414" spans="1:10" x14ac:dyDescent="0.3">
      <c r="A414">
        <v>10413</v>
      </c>
      <c r="B414" s="2">
        <v>45310</v>
      </c>
      <c r="C414" t="s">
        <v>12</v>
      </c>
      <c r="D414" t="s">
        <v>15</v>
      </c>
      <c r="E414" t="s">
        <v>24</v>
      </c>
      <c r="F414" t="s">
        <v>25</v>
      </c>
      <c r="G414">
        <v>12</v>
      </c>
      <c r="H414" s="4">
        <v>30</v>
      </c>
      <c r="I414" s="4">
        <v>360</v>
      </c>
      <c r="J414" t="str">
        <f>IF(Table1[[#This Row],[Revenue (£)]]&lt;500, "small", IF(Table1[[#This Row],[Revenue (£)]]&lt;2000, "medium", "Large"))</f>
        <v>small</v>
      </c>
    </row>
    <row r="415" spans="1:10" x14ac:dyDescent="0.3">
      <c r="A415">
        <v>10414</v>
      </c>
      <c r="B415" s="2">
        <v>45432</v>
      </c>
      <c r="C415" t="s">
        <v>10</v>
      </c>
      <c r="D415" t="s">
        <v>15</v>
      </c>
      <c r="E415" t="s">
        <v>21</v>
      </c>
      <c r="F415" t="s">
        <v>25</v>
      </c>
      <c r="G415">
        <v>12</v>
      </c>
      <c r="H415" s="4">
        <v>180</v>
      </c>
      <c r="I415" s="4">
        <v>2160</v>
      </c>
      <c r="J415" t="str">
        <f>IF(Table1[[#This Row],[Revenue (£)]]&lt;500, "small", IF(Table1[[#This Row],[Revenue (£)]]&lt;2000, "medium", "Large"))</f>
        <v>Large</v>
      </c>
    </row>
    <row r="416" spans="1:10" x14ac:dyDescent="0.3">
      <c r="A416">
        <v>10415</v>
      </c>
      <c r="B416" s="2">
        <v>45293</v>
      </c>
      <c r="C416" t="s">
        <v>11</v>
      </c>
      <c r="D416" t="s">
        <v>16</v>
      </c>
      <c r="E416" t="s">
        <v>19</v>
      </c>
      <c r="F416" t="s">
        <v>25</v>
      </c>
      <c r="G416">
        <v>2</v>
      </c>
      <c r="H416" s="4">
        <v>75</v>
      </c>
      <c r="I416" s="4">
        <v>150</v>
      </c>
      <c r="J416" t="str">
        <f>IF(Table1[[#This Row],[Revenue (£)]]&lt;500, "small", IF(Table1[[#This Row],[Revenue (£)]]&lt;2000, "medium", "Large"))</f>
        <v>small</v>
      </c>
    </row>
    <row r="417" spans="1:10" x14ac:dyDescent="0.3">
      <c r="A417">
        <v>10416</v>
      </c>
      <c r="B417" s="2">
        <v>45070</v>
      </c>
      <c r="C417" t="s">
        <v>12</v>
      </c>
      <c r="D417" t="s">
        <v>15</v>
      </c>
      <c r="E417" t="s">
        <v>23</v>
      </c>
      <c r="F417" t="s">
        <v>26</v>
      </c>
      <c r="G417">
        <v>14</v>
      </c>
      <c r="H417" s="4">
        <v>850</v>
      </c>
      <c r="I417" s="4">
        <v>11900</v>
      </c>
      <c r="J417" t="str">
        <f>IF(Table1[[#This Row],[Revenue (£)]]&lt;500, "small", IF(Table1[[#This Row],[Revenue (£)]]&lt;2000, "medium", "Large"))</f>
        <v>Large</v>
      </c>
    </row>
    <row r="418" spans="1:10" x14ac:dyDescent="0.3">
      <c r="A418">
        <v>10417</v>
      </c>
      <c r="B418" s="2">
        <v>44995</v>
      </c>
      <c r="C418" t="s">
        <v>12</v>
      </c>
      <c r="D418" t="s">
        <v>15</v>
      </c>
      <c r="E418" t="s">
        <v>21</v>
      </c>
      <c r="F418" t="s">
        <v>25</v>
      </c>
      <c r="G418">
        <v>5</v>
      </c>
      <c r="H418" s="4">
        <v>180</v>
      </c>
      <c r="I418" s="4">
        <v>900</v>
      </c>
      <c r="J418" t="str">
        <f>IF(Table1[[#This Row],[Revenue (£)]]&lt;500, "small", IF(Table1[[#This Row],[Revenue (£)]]&lt;2000, "medium", "Large"))</f>
        <v>medium</v>
      </c>
    </row>
    <row r="419" spans="1:10" x14ac:dyDescent="0.3">
      <c r="A419">
        <v>10418</v>
      </c>
      <c r="B419" s="2">
        <v>45025</v>
      </c>
      <c r="C419" t="s">
        <v>11</v>
      </c>
      <c r="D419" t="s">
        <v>18</v>
      </c>
      <c r="E419" t="s">
        <v>20</v>
      </c>
      <c r="F419" t="s">
        <v>26</v>
      </c>
      <c r="G419">
        <v>8</v>
      </c>
      <c r="H419" s="4">
        <v>220</v>
      </c>
      <c r="I419" s="4">
        <v>1760</v>
      </c>
      <c r="J419" t="str">
        <f>IF(Table1[[#This Row],[Revenue (£)]]&lt;500, "small", IF(Table1[[#This Row],[Revenue (£)]]&lt;2000, "medium", "Large"))</f>
        <v>medium</v>
      </c>
    </row>
    <row r="420" spans="1:10" x14ac:dyDescent="0.3">
      <c r="A420">
        <v>10419</v>
      </c>
      <c r="B420" s="2">
        <v>45322</v>
      </c>
      <c r="C420" t="s">
        <v>12</v>
      </c>
      <c r="D420" t="s">
        <v>14</v>
      </c>
      <c r="E420" t="s">
        <v>23</v>
      </c>
      <c r="F420" t="s">
        <v>26</v>
      </c>
      <c r="G420">
        <v>11</v>
      </c>
      <c r="H420" s="4">
        <v>850</v>
      </c>
      <c r="I420" s="4">
        <v>9350</v>
      </c>
      <c r="J420" t="str">
        <f>IF(Table1[[#This Row],[Revenue (£)]]&lt;500, "small", IF(Table1[[#This Row],[Revenue (£)]]&lt;2000, "medium", "Large"))</f>
        <v>Large</v>
      </c>
    </row>
    <row r="421" spans="1:10" x14ac:dyDescent="0.3">
      <c r="A421">
        <v>10420</v>
      </c>
      <c r="B421" s="2">
        <v>44951</v>
      </c>
      <c r="C421" t="s">
        <v>10</v>
      </c>
      <c r="D421" t="s">
        <v>14</v>
      </c>
      <c r="E421" t="s">
        <v>21</v>
      </c>
      <c r="F421" t="s">
        <v>25</v>
      </c>
      <c r="G421">
        <v>9</v>
      </c>
      <c r="H421" s="4">
        <v>180</v>
      </c>
      <c r="I421" s="4">
        <v>1620</v>
      </c>
      <c r="J421" t="str">
        <f>IF(Table1[[#This Row],[Revenue (£)]]&lt;500, "small", IF(Table1[[#This Row],[Revenue (£)]]&lt;2000, "medium", "Large"))</f>
        <v>medium</v>
      </c>
    </row>
    <row r="422" spans="1:10" x14ac:dyDescent="0.3">
      <c r="A422">
        <v>10421</v>
      </c>
      <c r="B422" s="2">
        <v>45395</v>
      </c>
      <c r="C422" t="s">
        <v>10</v>
      </c>
      <c r="D422" t="s">
        <v>18</v>
      </c>
      <c r="E422" t="s">
        <v>20</v>
      </c>
      <c r="F422" t="s">
        <v>26</v>
      </c>
      <c r="G422">
        <v>2</v>
      </c>
      <c r="H422" s="4">
        <v>220</v>
      </c>
      <c r="I422" s="4">
        <v>440</v>
      </c>
      <c r="J422" t="str">
        <f>IF(Table1[[#This Row],[Revenue (£)]]&lt;500, "small", IF(Table1[[#This Row],[Revenue (£)]]&lt;2000, "medium", "Large"))</f>
        <v>small</v>
      </c>
    </row>
    <row r="423" spans="1:10" x14ac:dyDescent="0.3">
      <c r="A423">
        <v>10422</v>
      </c>
      <c r="B423" s="2">
        <v>45410</v>
      </c>
      <c r="C423" t="s">
        <v>11</v>
      </c>
      <c r="D423" t="s">
        <v>16</v>
      </c>
      <c r="E423" t="s">
        <v>24</v>
      </c>
      <c r="F423" t="s">
        <v>25</v>
      </c>
      <c r="G423">
        <v>12</v>
      </c>
      <c r="H423" s="4">
        <v>30</v>
      </c>
      <c r="I423" s="4">
        <v>360</v>
      </c>
      <c r="J423" t="str">
        <f>IF(Table1[[#This Row],[Revenue (£)]]&lt;500, "small", IF(Table1[[#This Row],[Revenue (£)]]&lt;2000, "medium", "Large"))</f>
        <v>small</v>
      </c>
    </row>
    <row r="424" spans="1:10" x14ac:dyDescent="0.3">
      <c r="A424">
        <v>10423</v>
      </c>
      <c r="B424" s="2">
        <v>45077</v>
      </c>
      <c r="C424" t="s">
        <v>13</v>
      </c>
      <c r="D424" t="s">
        <v>17</v>
      </c>
      <c r="E424" t="s">
        <v>19</v>
      </c>
      <c r="F424" t="s">
        <v>25</v>
      </c>
      <c r="G424">
        <v>3</v>
      </c>
      <c r="H424" s="4">
        <v>75</v>
      </c>
      <c r="I424" s="4">
        <v>225</v>
      </c>
      <c r="J424" t="str">
        <f>IF(Table1[[#This Row],[Revenue (£)]]&lt;500, "small", IF(Table1[[#This Row],[Revenue (£)]]&lt;2000, "medium", "Large"))</f>
        <v>small</v>
      </c>
    </row>
    <row r="425" spans="1:10" x14ac:dyDescent="0.3">
      <c r="A425">
        <v>10424</v>
      </c>
      <c r="B425" s="2">
        <v>45070</v>
      </c>
      <c r="C425" t="s">
        <v>9</v>
      </c>
      <c r="D425" t="s">
        <v>17</v>
      </c>
      <c r="E425" t="s">
        <v>20</v>
      </c>
      <c r="F425" t="s">
        <v>26</v>
      </c>
      <c r="G425">
        <v>3</v>
      </c>
      <c r="H425" s="4">
        <v>220</v>
      </c>
      <c r="I425" s="4">
        <v>660</v>
      </c>
      <c r="J425" t="str">
        <f>IF(Table1[[#This Row],[Revenue (£)]]&lt;500, "small", IF(Table1[[#This Row],[Revenue (£)]]&lt;2000, "medium", "Large"))</f>
        <v>medium</v>
      </c>
    </row>
    <row r="426" spans="1:10" x14ac:dyDescent="0.3">
      <c r="A426">
        <v>10425</v>
      </c>
      <c r="B426" s="2">
        <v>44965</v>
      </c>
      <c r="C426" t="s">
        <v>13</v>
      </c>
      <c r="D426" t="s">
        <v>17</v>
      </c>
      <c r="E426" t="s">
        <v>22</v>
      </c>
      <c r="F426" t="s">
        <v>25</v>
      </c>
      <c r="G426">
        <v>1</v>
      </c>
      <c r="H426" s="4">
        <v>45</v>
      </c>
      <c r="I426" s="4">
        <v>45</v>
      </c>
      <c r="J426" t="str">
        <f>IF(Table1[[#This Row],[Revenue (£)]]&lt;500, "small", IF(Table1[[#This Row],[Revenue (£)]]&lt;2000, "medium", "Large"))</f>
        <v>small</v>
      </c>
    </row>
    <row r="427" spans="1:10" x14ac:dyDescent="0.3">
      <c r="A427">
        <v>10426</v>
      </c>
      <c r="B427" s="2">
        <v>45035</v>
      </c>
      <c r="C427" t="s">
        <v>12</v>
      </c>
      <c r="D427" t="s">
        <v>18</v>
      </c>
      <c r="E427" t="s">
        <v>20</v>
      </c>
      <c r="F427" t="s">
        <v>26</v>
      </c>
      <c r="G427">
        <v>8</v>
      </c>
      <c r="H427" s="4">
        <v>220</v>
      </c>
      <c r="I427" s="4">
        <v>1760</v>
      </c>
      <c r="J427" t="str">
        <f>IF(Table1[[#This Row],[Revenue (£)]]&lt;500, "small", IF(Table1[[#This Row],[Revenue (£)]]&lt;2000, "medium", "Large"))</f>
        <v>medium</v>
      </c>
    </row>
    <row r="428" spans="1:10" x14ac:dyDescent="0.3">
      <c r="A428">
        <v>10427</v>
      </c>
      <c r="B428" s="2">
        <v>44968</v>
      </c>
      <c r="C428" t="s">
        <v>9</v>
      </c>
      <c r="D428" t="s">
        <v>18</v>
      </c>
      <c r="E428" t="s">
        <v>20</v>
      </c>
      <c r="F428" t="s">
        <v>26</v>
      </c>
      <c r="G428">
        <v>6</v>
      </c>
      <c r="H428" s="4">
        <v>220</v>
      </c>
      <c r="I428" s="4">
        <v>1320</v>
      </c>
      <c r="J428" t="str">
        <f>IF(Table1[[#This Row],[Revenue (£)]]&lt;500, "small", IF(Table1[[#This Row],[Revenue (£)]]&lt;2000, "medium", "Large"))</f>
        <v>medium</v>
      </c>
    </row>
    <row r="429" spans="1:10" x14ac:dyDescent="0.3">
      <c r="A429">
        <v>10428</v>
      </c>
      <c r="B429" s="2">
        <v>45112</v>
      </c>
      <c r="C429" t="s">
        <v>11</v>
      </c>
      <c r="D429" t="s">
        <v>15</v>
      </c>
      <c r="E429" t="s">
        <v>19</v>
      </c>
      <c r="F429" t="s">
        <v>25</v>
      </c>
      <c r="G429">
        <v>12</v>
      </c>
      <c r="H429" s="4">
        <v>75</v>
      </c>
      <c r="I429" s="4">
        <v>900</v>
      </c>
      <c r="J429" t="str">
        <f>IF(Table1[[#This Row],[Revenue (£)]]&lt;500, "small", IF(Table1[[#This Row],[Revenue (£)]]&lt;2000, "medium", "Large"))</f>
        <v>medium</v>
      </c>
    </row>
    <row r="430" spans="1:10" x14ac:dyDescent="0.3">
      <c r="A430">
        <v>10429</v>
      </c>
      <c r="B430" s="2">
        <v>45324</v>
      </c>
      <c r="C430" t="s">
        <v>11</v>
      </c>
      <c r="D430" t="s">
        <v>17</v>
      </c>
      <c r="E430" t="s">
        <v>22</v>
      </c>
      <c r="F430" t="s">
        <v>25</v>
      </c>
      <c r="G430">
        <v>13</v>
      </c>
      <c r="H430" s="4">
        <v>45</v>
      </c>
      <c r="I430" s="4">
        <v>585</v>
      </c>
      <c r="J430" t="str">
        <f>IF(Table1[[#This Row],[Revenue (£)]]&lt;500, "small", IF(Table1[[#This Row],[Revenue (£)]]&lt;2000, "medium", "Large"))</f>
        <v>medium</v>
      </c>
    </row>
    <row r="431" spans="1:10" x14ac:dyDescent="0.3">
      <c r="A431">
        <v>10430</v>
      </c>
      <c r="B431" s="2">
        <v>45149</v>
      </c>
      <c r="C431" t="s">
        <v>9</v>
      </c>
      <c r="D431" t="s">
        <v>16</v>
      </c>
      <c r="E431" t="s">
        <v>21</v>
      </c>
      <c r="F431" t="s">
        <v>25</v>
      </c>
      <c r="G431">
        <v>8</v>
      </c>
      <c r="H431" s="4">
        <v>180</v>
      </c>
      <c r="I431" s="4">
        <v>1440</v>
      </c>
      <c r="J431" t="str">
        <f>IF(Table1[[#This Row],[Revenue (£)]]&lt;500, "small", IF(Table1[[#This Row],[Revenue (£)]]&lt;2000, "medium", "Large"))</f>
        <v>medium</v>
      </c>
    </row>
    <row r="432" spans="1:10" x14ac:dyDescent="0.3">
      <c r="A432">
        <v>10431</v>
      </c>
      <c r="B432" s="2">
        <v>45059</v>
      </c>
      <c r="C432" t="s">
        <v>10</v>
      </c>
      <c r="D432" t="s">
        <v>16</v>
      </c>
      <c r="E432" t="s">
        <v>21</v>
      </c>
      <c r="F432" t="s">
        <v>25</v>
      </c>
      <c r="G432">
        <v>11</v>
      </c>
      <c r="H432" s="4">
        <v>180</v>
      </c>
      <c r="I432" s="4">
        <v>1980</v>
      </c>
      <c r="J432" t="str">
        <f>IF(Table1[[#This Row],[Revenue (£)]]&lt;500, "small", IF(Table1[[#This Row],[Revenue (£)]]&lt;2000, "medium", "Large"))</f>
        <v>medium</v>
      </c>
    </row>
    <row r="433" spans="1:10" x14ac:dyDescent="0.3">
      <c r="A433">
        <v>10432</v>
      </c>
      <c r="B433" s="2">
        <v>45089</v>
      </c>
      <c r="C433" t="s">
        <v>9</v>
      </c>
      <c r="D433" t="s">
        <v>17</v>
      </c>
      <c r="E433" t="s">
        <v>20</v>
      </c>
      <c r="F433" t="s">
        <v>26</v>
      </c>
      <c r="G433">
        <v>9</v>
      </c>
      <c r="H433" s="4">
        <v>220</v>
      </c>
      <c r="I433" s="4">
        <v>1980</v>
      </c>
      <c r="J433" t="str">
        <f>IF(Table1[[#This Row],[Revenue (£)]]&lt;500, "small", IF(Table1[[#This Row],[Revenue (£)]]&lt;2000, "medium", "Large"))</f>
        <v>medium</v>
      </c>
    </row>
    <row r="434" spans="1:10" x14ac:dyDescent="0.3">
      <c r="A434">
        <v>10433</v>
      </c>
      <c r="B434" s="2">
        <v>45141</v>
      </c>
      <c r="C434" t="s">
        <v>12</v>
      </c>
      <c r="D434" t="s">
        <v>17</v>
      </c>
      <c r="E434" t="s">
        <v>22</v>
      </c>
      <c r="F434" t="s">
        <v>25</v>
      </c>
      <c r="G434">
        <v>5</v>
      </c>
      <c r="H434" s="4">
        <v>45</v>
      </c>
      <c r="I434" s="4">
        <v>225</v>
      </c>
      <c r="J434" t="str">
        <f>IF(Table1[[#This Row],[Revenue (£)]]&lt;500, "small", IF(Table1[[#This Row],[Revenue (£)]]&lt;2000, "medium", "Large"))</f>
        <v>small</v>
      </c>
    </row>
    <row r="435" spans="1:10" x14ac:dyDescent="0.3">
      <c r="A435">
        <v>10434</v>
      </c>
      <c r="B435" s="2">
        <v>45161</v>
      </c>
      <c r="C435" t="s">
        <v>10</v>
      </c>
      <c r="D435" t="s">
        <v>17</v>
      </c>
      <c r="E435" t="s">
        <v>22</v>
      </c>
      <c r="F435" t="s">
        <v>25</v>
      </c>
      <c r="G435">
        <v>14</v>
      </c>
      <c r="H435" s="4">
        <v>45</v>
      </c>
      <c r="I435" s="4">
        <v>630</v>
      </c>
      <c r="J435" t="str">
        <f>IF(Table1[[#This Row],[Revenue (£)]]&lt;500, "small", IF(Table1[[#This Row],[Revenue (£)]]&lt;2000, "medium", "Large"))</f>
        <v>medium</v>
      </c>
    </row>
    <row r="436" spans="1:10" x14ac:dyDescent="0.3">
      <c r="A436">
        <v>10435</v>
      </c>
      <c r="B436" s="2">
        <v>44935</v>
      </c>
      <c r="C436" t="s">
        <v>11</v>
      </c>
      <c r="D436" t="s">
        <v>18</v>
      </c>
      <c r="E436" t="s">
        <v>19</v>
      </c>
      <c r="F436" t="s">
        <v>25</v>
      </c>
      <c r="G436">
        <v>12</v>
      </c>
      <c r="H436" s="4">
        <v>75</v>
      </c>
      <c r="I436" s="4">
        <v>900</v>
      </c>
      <c r="J436" t="str">
        <f>IF(Table1[[#This Row],[Revenue (£)]]&lt;500, "small", IF(Table1[[#This Row],[Revenue (£)]]&lt;2000, "medium", "Large"))</f>
        <v>medium</v>
      </c>
    </row>
    <row r="437" spans="1:10" x14ac:dyDescent="0.3">
      <c r="A437">
        <v>10436</v>
      </c>
      <c r="B437" s="2">
        <v>45000</v>
      </c>
      <c r="C437" t="s">
        <v>9</v>
      </c>
      <c r="D437" t="s">
        <v>18</v>
      </c>
      <c r="E437" t="s">
        <v>24</v>
      </c>
      <c r="F437" t="s">
        <v>25</v>
      </c>
      <c r="G437">
        <v>14</v>
      </c>
      <c r="H437" s="4">
        <v>30</v>
      </c>
      <c r="I437" s="4">
        <v>420</v>
      </c>
      <c r="J437" t="str">
        <f>IF(Table1[[#This Row],[Revenue (£)]]&lt;500, "small", IF(Table1[[#This Row],[Revenue (£)]]&lt;2000, "medium", "Large"))</f>
        <v>small</v>
      </c>
    </row>
    <row r="438" spans="1:10" x14ac:dyDescent="0.3">
      <c r="A438">
        <v>10437</v>
      </c>
      <c r="B438" s="2">
        <v>45418</v>
      </c>
      <c r="C438" t="s">
        <v>13</v>
      </c>
      <c r="D438" t="s">
        <v>18</v>
      </c>
      <c r="E438" t="s">
        <v>21</v>
      </c>
      <c r="F438" t="s">
        <v>25</v>
      </c>
      <c r="G438">
        <v>3</v>
      </c>
      <c r="H438" s="4">
        <v>180</v>
      </c>
      <c r="I438" s="4">
        <v>540</v>
      </c>
      <c r="J438" t="str">
        <f>IF(Table1[[#This Row],[Revenue (£)]]&lt;500, "small", IF(Table1[[#This Row],[Revenue (£)]]&lt;2000, "medium", "Large"))</f>
        <v>medium</v>
      </c>
    </row>
    <row r="439" spans="1:10" x14ac:dyDescent="0.3">
      <c r="A439">
        <v>10438</v>
      </c>
      <c r="B439" s="2">
        <v>45179</v>
      </c>
      <c r="C439" t="s">
        <v>13</v>
      </c>
      <c r="D439" t="s">
        <v>14</v>
      </c>
      <c r="E439" t="s">
        <v>19</v>
      </c>
      <c r="F439" t="s">
        <v>25</v>
      </c>
      <c r="G439">
        <v>5</v>
      </c>
      <c r="H439" s="4">
        <v>75</v>
      </c>
      <c r="I439" s="4">
        <v>375</v>
      </c>
      <c r="J439" t="str">
        <f>IF(Table1[[#This Row],[Revenue (£)]]&lt;500, "small", IF(Table1[[#This Row],[Revenue (£)]]&lt;2000, "medium", "Large"))</f>
        <v>small</v>
      </c>
    </row>
    <row r="440" spans="1:10" x14ac:dyDescent="0.3">
      <c r="A440">
        <v>10439</v>
      </c>
      <c r="B440" s="2">
        <v>45156</v>
      </c>
      <c r="C440" t="s">
        <v>12</v>
      </c>
      <c r="D440" t="s">
        <v>16</v>
      </c>
      <c r="E440" t="s">
        <v>23</v>
      </c>
      <c r="F440" t="s">
        <v>26</v>
      </c>
      <c r="G440">
        <v>5</v>
      </c>
      <c r="H440" s="4">
        <v>850</v>
      </c>
      <c r="I440" s="4">
        <v>4250</v>
      </c>
      <c r="J440" t="str">
        <f>IF(Table1[[#This Row],[Revenue (£)]]&lt;500, "small", IF(Table1[[#This Row],[Revenue (£)]]&lt;2000, "medium", "Large"))</f>
        <v>Large</v>
      </c>
    </row>
    <row r="441" spans="1:10" x14ac:dyDescent="0.3">
      <c r="A441">
        <v>10440</v>
      </c>
      <c r="B441" s="2">
        <v>45445</v>
      </c>
      <c r="C441" t="s">
        <v>13</v>
      </c>
      <c r="D441" t="s">
        <v>16</v>
      </c>
      <c r="E441" t="s">
        <v>21</v>
      </c>
      <c r="F441" t="s">
        <v>25</v>
      </c>
      <c r="G441">
        <v>5</v>
      </c>
      <c r="H441" s="4">
        <v>180</v>
      </c>
      <c r="I441" s="4">
        <v>900</v>
      </c>
      <c r="J441" t="str">
        <f>IF(Table1[[#This Row],[Revenue (£)]]&lt;500, "small", IF(Table1[[#This Row],[Revenue (£)]]&lt;2000, "medium", "Large"))</f>
        <v>medium</v>
      </c>
    </row>
    <row r="442" spans="1:10" x14ac:dyDescent="0.3">
      <c r="A442">
        <v>10441</v>
      </c>
      <c r="B442" s="2">
        <v>45100</v>
      </c>
      <c r="C442" t="s">
        <v>9</v>
      </c>
      <c r="D442" t="s">
        <v>15</v>
      </c>
      <c r="E442" t="s">
        <v>19</v>
      </c>
      <c r="F442" t="s">
        <v>25</v>
      </c>
      <c r="G442">
        <v>3</v>
      </c>
      <c r="H442" s="4">
        <v>75</v>
      </c>
      <c r="I442" s="4">
        <v>225</v>
      </c>
      <c r="J442" t="str">
        <f>IF(Table1[[#This Row],[Revenue (£)]]&lt;500, "small", IF(Table1[[#This Row],[Revenue (£)]]&lt;2000, "medium", "Large"))</f>
        <v>small</v>
      </c>
    </row>
    <row r="443" spans="1:10" x14ac:dyDescent="0.3">
      <c r="A443">
        <v>10442</v>
      </c>
      <c r="B443" s="2">
        <v>45094</v>
      </c>
      <c r="C443" t="s">
        <v>9</v>
      </c>
      <c r="D443" t="s">
        <v>18</v>
      </c>
      <c r="E443" t="s">
        <v>21</v>
      </c>
      <c r="F443" t="s">
        <v>25</v>
      </c>
      <c r="G443">
        <v>11</v>
      </c>
      <c r="H443" s="4">
        <v>180</v>
      </c>
      <c r="I443" s="4">
        <v>1980</v>
      </c>
      <c r="J443" t="str">
        <f>IF(Table1[[#This Row],[Revenue (£)]]&lt;500, "small", IF(Table1[[#This Row],[Revenue (£)]]&lt;2000, "medium", "Large"))</f>
        <v>medium</v>
      </c>
    </row>
    <row r="444" spans="1:10" x14ac:dyDescent="0.3">
      <c r="A444">
        <v>10443</v>
      </c>
      <c r="B444" s="2">
        <v>45096</v>
      </c>
      <c r="C444" t="s">
        <v>13</v>
      </c>
      <c r="D444" t="s">
        <v>14</v>
      </c>
      <c r="E444" t="s">
        <v>24</v>
      </c>
      <c r="F444" t="s">
        <v>25</v>
      </c>
      <c r="G444">
        <v>14</v>
      </c>
      <c r="H444" s="4">
        <v>30</v>
      </c>
      <c r="I444" s="4">
        <v>420</v>
      </c>
      <c r="J444" t="str">
        <f>IF(Table1[[#This Row],[Revenue (£)]]&lt;500, "small", IF(Table1[[#This Row],[Revenue (£)]]&lt;2000, "medium", "Large"))</f>
        <v>small</v>
      </c>
    </row>
    <row r="445" spans="1:10" x14ac:dyDescent="0.3">
      <c r="A445">
        <v>10444</v>
      </c>
      <c r="B445" s="2">
        <v>45319</v>
      </c>
      <c r="C445" t="s">
        <v>9</v>
      </c>
      <c r="D445" t="s">
        <v>14</v>
      </c>
      <c r="E445" t="s">
        <v>23</v>
      </c>
      <c r="F445" t="s">
        <v>26</v>
      </c>
      <c r="G445">
        <v>10</v>
      </c>
      <c r="H445" s="4">
        <v>850</v>
      </c>
      <c r="I445" s="4">
        <v>8500</v>
      </c>
      <c r="J445" t="str">
        <f>IF(Table1[[#This Row],[Revenue (£)]]&lt;500, "small", IF(Table1[[#This Row],[Revenue (£)]]&lt;2000, "medium", "Large"))</f>
        <v>Large</v>
      </c>
    </row>
    <row r="446" spans="1:10" x14ac:dyDescent="0.3">
      <c r="A446">
        <v>10445</v>
      </c>
      <c r="B446" s="2">
        <v>45120</v>
      </c>
      <c r="C446" t="s">
        <v>12</v>
      </c>
      <c r="D446" t="s">
        <v>16</v>
      </c>
      <c r="E446" t="s">
        <v>24</v>
      </c>
      <c r="F446" t="s">
        <v>25</v>
      </c>
      <c r="G446">
        <v>14</v>
      </c>
      <c r="H446" s="4">
        <v>30</v>
      </c>
      <c r="I446" s="4">
        <v>420</v>
      </c>
      <c r="J446" t="str">
        <f>IF(Table1[[#This Row],[Revenue (£)]]&lt;500, "small", IF(Table1[[#This Row],[Revenue (£)]]&lt;2000, "medium", "Large"))</f>
        <v>small</v>
      </c>
    </row>
    <row r="447" spans="1:10" x14ac:dyDescent="0.3">
      <c r="A447">
        <v>10446</v>
      </c>
      <c r="B447" s="2">
        <v>45443</v>
      </c>
      <c r="C447" t="s">
        <v>10</v>
      </c>
      <c r="D447" t="s">
        <v>18</v>
      </c>
      <c r="E447" t="s">
        <v>23</v>
      </c>
      <c r="F447" t="s">
        <v>26</v>
      </c>
      <c r="G447">
        <v>4</v>
      </c>
      <c r="H447" s="4">
        <v>850</v>
      </c>
      <c r="I447" s="4">
        <v>3400</v>
      </c>
      <c r="J447" t="str">
        <f>IF(Table1[[#This Row],[Revenue (£)]]&lt;500, "small", IF(Table1[[#This Row],[Revenue (£)]]&lt;2000, "medium", "Large"))</f>
        <v>Large</v>
      </c>
    </row>
    <row r="448" spans="1:10" x14ac:dyDescent="0.3">
      <c r="A448">
        <v>10447</v>
      </c>
      <c r="B448" s="2">
        <v>44955</v>
      </c>
      <c r="C448" t="s">
        <v>12</v>
      </c>
      <c r="D448" t="s">
        <v>15</v>
      </c>
      <c r="E448" t="s">
        <v>20</v>
      </c>
      <c r="F448" t="s">
        <v>26</v>
      </c>
      <c r="G448">
        <v>9</v>
      </c>
      <c r="H448" s="4">
        <v>220</v>
      </c>
      <c r="I448" s="4">
        <v>1980</v>
      </c>
      <c r="J448" t="str">
        <f>IF(Table1[[#This Row],[Revenue (£)]]&lt;500, "small", IF(Table1[[#This Row],[Revenue (£)]]&lt;2000, "medium", "Large"))</f>
        <v>medium</v>
      </c>
    </row>
    <row r="449" spans="1:10" x14ac:dyDescent="0.3">
      <c r="A449">
        <v>10448</v>
      </c>
      <c r="B449" s="2">
        <v>45091</v>
      </c>
      <c r="C449" t="s">
        <v>12</v>
      </c>
      <c r="D449" t="s">
        <v>18</v>
      </c>
      <c r="E449" t="s">
        <v>19</v>
      </c>
      <c r="F449" t="s">
        <v>25</v>
      </c>
      <c r="G449">
        <v>13</v>
      </c>
      <c r="H449" s="4">
        <v>75</v>
      </c>
      <c r="I449" s="4">
        <v>975</v>
      </c>
      <c r="J449" t="str">
        <f>IF(Table1[[#This Row],[Revenue (£)]]&lt;500, "small", IF(Table1[[#This Row],[Revenue (£)]]&lt;2000, "medium", "Large"))</f>
        <v>medium</v>
      </c>
    </row>
    <row r="450" spans="1:10" x14ac:dyDescent="0.3">
      <c r="A450">
        <v>10449</v>
      </c>
      <c r="B450" s="2">
        <v>45348</v>
      </c>
      <c r="C450" t="s">
        <v>9</v>
      </c>
      <c r="D450" t="s">
        <v>17</v>
      </c>
      <c r="E450" t="s">
        <v>23</v>
      </c>
      <c r="F450" t="s">
        <v>26</v>
      </c>
      <c r="G450">
        <v>10</v>
      </c>
      <c r="H450" s="4">
        <v>850</v>
      </c>
      <c r="I450" s="4">
        <v>8500</v>
      </c>
      <c r="J450" t="str">
        <f>IF(Table1[[#This Row],[Revenue (£)]]&lt;500, "small", IF(Table1[[#This Row],[Revenue (£)]]&lt;2000, "medium", "Large"))</f>
        <v>Large</v>
      </c>
    </row>
    <row r="451" spans="1:10" x14ac:dyDescent="0.3">
      <c r="A451">
        <v>10450</v>
      </c>
      <c r="B451" s="2">
        <v>45265</v>
      </c>
      <c r="C451" t="s">
        <v>10</v>
      </c>
      <c r="D451" t="s">
        <v>18</v>
      </c>
      <c r="E451" t="s">
        <v>24</v>
      </c>
      <c r="F451" t="s">
        <v>25</v>
      </c>
      <c r="G451">
        <v>9</v>
      </c>
      <c r="H451" s="4">
        <v>30</v>
      </c>
      <c r="I451" s="4">
        <v>270</v>
      </c>
      <c r="J451" t="str">
        <f>IF(Table1[[#This Row],[Revenue (£)]]&lt;500, "small", IF(Table1[[#This Row],[Revenue (£)]]&lt;2000, "medium", "Large"))</f>
        <v>small</v>
      </c>
    </row>
    <row r="452" spans="1:10" x14ac:dyDescent="0.3">
      <c r="A452">
        <v>10451</v>
      </c>
      <c r="B452" s="2">
        <v>45422</v>
      </c>
      <c r="C452" t="s">
        <v>9</v>
      </c>
      <c r="D452" t="s">
        <v>17</v>
      </c>
      <c r="E452" t="s">
        <v>21</v>
      </c>
      <c r="F452" t="s">
        <v>25</v>
      </c>
      <c r="G452">
        <v>2</v>
      </c>
      <c r="H452" s="4">
        <v>180</v>
      </c>
      <c r="I452" s="4">
        <v>360</v>
      </c>
      <c r="J452" t="str">
        <f>IF(Table1[[#This Row],[Revenue (£)]]&lt;500, "small", IF(Table1[[#This Row],[Revenue (£)]]&lt;2000, "medium", "Large"))</f>
        <v>small</v>
      </c>
    </row>
    <row r="453" spans="1:10" x14ac:dyDescent="0.3">
      <c r="A453">
        <v>10452</v>
      </c>
      <c r="B453" s="2">
        <v>45291</v>
      </c>
      <c r="C453" t="s">
        <v>11</v>
      </c>
      <c r="D453" t="s">
        <v>17</v>
      </c>
      <c r="E453" t="s">
        <v>23</v>
      </c>
      <c r="F453" t="s">
        <v>26</v>
      </c>
      <c r="G453">
        <v>8</v>
      </c>
      <c r="H453" s="4">
        <v>850</v>
      </c>
      <c r="I453" s="4">
        <v>6800</v>
      </c>
      <c r="J453" t="str">
        <f>IF(Table1[[#This Row],[Revenue (£)]]&lt;500, "small", IF(Table1[[#This Row],[Revenue (£)]]&lt;2000, "medium", "Large"))</f>
        <v>Large</v>
      </c>
    </row>
    <row r="454" spans="1:10" x14ac:dyDescent="0.3">
      <c r="A454">
        <v>10453</v>
      </c>
      <c r="B454" s="2">
        <v>45268</v>
      </c>
      <c r="C454" t="s">
        <v>9</v>
      </c>
      <c r="D454" t="s">
        <v>15</v>
      </c>
      <c r="E454" t="s">
        <v>19</v>
      </c>
      <c r="F454" t="s">
        <v>25</v>
      </c>
      <c r="G454">
        <v>8</v>
      </c>
      <c r="H454" s="4">
        <v>75</v>
      </c>
      <c r="I454" s="4">
        <v>600</v>
      </c>
      <c r="J454" t="str">
        <f>IF(Table1[[#This Row],[Revenue (£)]]&lt;500, "small", IF(Table1[[#This Row],[Revenue (£)]]&lt;2000, "medium", "Large"))</f>
        <v>medium</v>
      </c>
    </row>
    <row r="455" spans="1:10" x14ac:dyDescent="0.3">
      <c r="A455">
        <v>10454</v>
      </c>
      <c r="B455" s="2">
        <v>45426</v>
      </c>
      <c r="C455" t="s">
        <v>9</v>
      </c>
      <c r="D455" t="s">
        <v>16</v>
      </c>
      <c r="E455" t="s">
        <v>23</v>
      </c>
      <c r="F455" t="s">
        <v>26</v>
      </c>
      <c r="G455">
        <v>7</v>
      </c>
      <c r="H455" s="4">
        <v>850</v>
      </c>
      <c r="I455" s="4">
        <v>5950</v>
      </c>
      <c r="J455" t="str">
        <f>IF(Table1[[#This Row],[Revenue (£)]]&lt;500, "small", IF(Table1[[#This Row],[Revenue (£)]]&lt;2000, "medium", "Large"))</f>
        <v>Large</v>
      </c>
    </row>
    <row r="456" spans="1:10" x14ac:dyDescent="0.3">
      <c r="A456">
        <v>10455</v>
      </c>
      <c r="B456" s="2">
        <v>45437</v>
      </c>
      <c r="C456" t="s">
        <v>9</v>
      </c>
      <c r="D456" t="s">
        <v>18</v>
      </c>
      <c r="E456" t="s">
        <v>22</v>
      </c>
      <c r="F456" t="s">
        <v>25</v>
      </c>
      <c r="G456">
        <v>8</v>
      </c>
      <c r="H456" s="4">
        <v>45</v>
      </c>
      <c r="I456" s="4">
        <v>360</v>
      </c>
      <c r="J456" t="str">
        <f>IF(Table1[[#This Row],[Revenue (£)]]&lt;500, "small", IF(Table1[[#This Row],[Revenue (£)]]&lt;2000, "medium", "Large"))</f>
        <v>small</v>
      </c>
    </row>
    <row r="457" spans="1:10" x14ac:dyDescent="0.3">
      <c r="A457">
        <v>10456</v>
      </c>
      <c r="B457" s="2">
        <v>45253</v>
      </c>
      <c r="C457" t="s">
        <v>10</v>
      </c>
      <c r="D457" t="s">
        <v>17</v>
      </c>
      <c r="E457" t="s">
        <v>21</v>
      </c>
      <c r="F457" t="s">
        <v>25</v>
      </c>
      <c r="G457">
        <v>14</v>
      </c>
      <c r="H457" s="4">
        <v>180</v>
      </c>
      <c r="I457" s="4">
        <v>2520</v>
      </c>
      <c r="J457" t="str">
        <f>IF(Table1[[#This Row],[Revenue (£)]]&lt;500, "small", IF(Table1[[#This Row],[Revenue (£)]]&lt;2000, "medium", "Large"))</f>
        <v>Large</v>
      </c>
    </row>
    <row r="458" spans="1:10" x14ac:dyDescent="0.3">
      <c r="A458">
        <v>10457</v>
      </c>
      <c r="B458" s="2">
        <v>45143</v>
      </c>
      <c r="C458" t="s">
        <v>9</v>
      </c>
      <c r="D458" t="s">
        <v>18</v>
      </c>
      <c r="E458" t="s">
        <v>19</v>
      </c>
      <c r="F458" t="s">
        <v>25</v>
      </c>
      <c r="G458">
        <v>3</v>
      </c>
      <c r="H458" s="4">
        <v>75</v>
      </c>
      <c r="I458" s="4">
        <v>225</v>
      </c>
      <c r="J458" t="str">
        <f>IF(Table1[[#This Row],[Revenue (£)]]&lt;500, "small", IF(Table1[[#This Row],[Revenue (£)]]&lt;2000, "medium", "Large"))</f>
        <v>small</v>
      </c>
    </row>
    <row r="459" spans="1:10" x14ac:dyDescent="0.3">
      <c r="A459">
        <v>10458</v>
      </c>
      <c r="B459" s="2">
        <v>45227</v>
      </c>
      <c r="C459" t="s">
        <v>10</v>
      </c>
      <c r="D459" t="s">
        <v>16</v>
      </c>
      <c r="E459" t="s">
        <v>19</v>
      </c>
      <c r="F459" t="s">
        <v>25</v>
      </c>
      <c r="G459">
        <v>13</v>
      </c>
      <c r="H459" s="4">
        <v>75</v>
      </c>
      <c r="I459" s="4">
        <v>975</v>
      </c>
      <c r="J459" t="str">
        <f>IF(Table1[[#This Row],[Revenue (£)]]&lt;500, "small", IF(Table1[[#This Row],[Revenue (£)]]&lt;2000, "medium", "Large"))</f>
        <v>medium</v>
      </c>
    </row>
    <row r="460" spans="1:10" x14ac:dyDescent="0.3">
      <c r="A460">
        <v>10459</v>
      </c>
      <c r="B460" s="2">
        <v>45058</v>
      </c>
      <c r="C460" t="s">
        <v>13</v>
      </c>
      <c r="D460" t="s">
        <v>16</v>
      </c>
      <c r="E460" t="s">
        <v>20</v>
      </c>
      <c r="F460" t="s">
        <v>26</v>
      </c>
      <c r="G460">
        <v>6</v>
      </c>
      <c r="H460" s="4">
        <v>220</v>
      </c>
      <c r="I460" s="4">
        <v>1320</v>
      </c>
      <c r="J460" t="str">
        <f>IF(Table1[[#This Row],[Revenue (£)]]&lt;500, "small", IF(Table1[[#This Row],[Revenue (£)]]&lt;2000, "medium", "Large"))</f>
        <v>medium</v>
      </c>
    </row>
    <row r="461" spans="1:10" x14ac:dyDescent="0.3">
      <c r="A461">
        <v>10460</v>
      </c>
      <c r="B461" s="2">
        <v>44996</v>
      </c>
      <c r="C461" t="s">
        <v>11</v>
      </c>
      <c r="D461" t="s">
        <v>14</v>
      </c>
      <c r="E461" t="s">
        <v>24</v>
      </c>
      <c r="F461" t="s">
        <v>25</v>
      </c>
      <c r="G461">
        <v>1</v>
      </c>
      <c r="H461" s="4">
        <v>30</v>
      </c>
      <c r="I461" s="4">
        <v>30</v>
      </c>
      <c r="J461" t="str">
        <f>IF(Table1[[#This Row],[Revenue (£)]]&lt;500, "small", IF(Table1[[#This Row],[Revenue (£)]]&lt;2000, "medium", "Large"))</f>
        <v>small</v>
      </c>
    </row>
    <row r="462" spans="1:10" x14ac:dyDescent="0.3">
      <c r="A462">
        <v>10461</v>
      </c>
      <c r="B462" s="2">
        <v>45178</v>
      </c>
      <c r="C462" t="s">
        <v>10</v>
      </c>
      <c r="D462" t="s">
        <v>16</v>
      </c>
      <c r="E462" t="s">
        <v>20</v>
      </c>
      <c r="F462" t="s">
        <v>26</v>
      </c>
      <c r="G462">
        <v>7</v>
      </c>
      <c r="H462" s="4">
        <v>220</v>
      </c>
      <c r="I462" s="4">
        <v>1540</v>
      </c>
      <c r="J462" t="str">
        <f>IF(Table1[[#This Row],[Revenue (£)]]&lt;500, "small", IF(Table1[[#This Row],[Revenue (£)]]&lt;2000, "medium", "Large"))</f>
        <v>medium</v>
      </c>
    </row>
    <row r="463" spans="1:10" x14ac:dyDescent="0.3">
      <c r="A463">
        <v>10462</v>
      </c>
      <c r="B463" s="2">
        <v>45341</v>
      </c>
      <c r="C463" t="s">
        <v>13</v>
      </c>
      <c r="D463" t="s">
        <v>15</v>
      </c>
      <c r="E463" t="s">
        <v>19</v>
      </c>
      <c r="F463" t="s">
        <v>25</v>
      </c>
      <c r="G463">
        <v>1</v>
      </c>
      <c r="H463" s="4">
        <v>75</v>
      </c>
      <c r="I463" s="4">
        <v>75</v>
      </c>
      <c r="J463" t="str">
        <f>IF(Table1[[#This Row],[Revenue (£)]]&lt;500, "small", IF(Table1[[#This Row],[Revenue (£)]]&lt;2000, "medium", "Large"))</f>
        <v>small</v>
      </c>
    </row>
    <row r="464" spans="1:10" x14ac:dyDescent="0.3">
      <c r="A464">
        <v>10463</v>
      </c>
      <c r="B464" s="2">
        <v>45371</v>
      </c>
      <c r="C464" t="s">
        <v>10</v>
      </c>
      <c r="D464" t="s">
        <v>17</v>
      </c>
      <c r="E464" t="s">
        <v>21</v>
      </c>
      <c r="F464" t="s">
        <v>25</v>
      </c>
      <c r="G464">
        <v>9</v>
      </c>
      <c r="H464" s="4">
        <v>180</v>
      </c>
      <c r="I464" s="4">
        <v>1620</v>
      </c>
      <c r="J464" t="str">
        <f>IF(Table1[[#This Row],[Revenue (£)]]&lt;500, "small", IF(Table1[[#This Row],[Revenue (£)]]&lt;2000, "medium", "Large"))</f>
        <v>medium</v>
      </c>
    </row>
    <row r="465" spans="1:10" x14ac:dyDescent="0.3">
      <c r="A465">
        <v>10464</v>
      </c>
      <c r="B465" s="2">
        <v>45108</v>
      </c>
      <c r="C465" t="s">
        <v>10</v>
      </c>
      <c r="D465" t="s">
        <v>14</v>
      </c>
      <c r="E465" t="s">
        <v>23</v>
      </c>
      <c r="F465" t="s">
        <v>26</v>
      </c>
      <c r="G465">
        <v>1</v>
      </c>
      <c r="H465" s="4">
        <v>850</v>
      </c>
      <c r="I465" s="4">
        <v>850</v>
      </c>
      <c r="J465" t="str">
        <f>IF(Table1[[#This Row],[Revenue (£)]]&lt;500, "small", IF(Table1[[#This Row],[Revenue (£)]]&lt;2000, "medium", "Large"))</f>
        <v>medium</v>
      </c>
    </row>
    <row r="466" spans="1:10" x14ac:dyDescent="0.3">
      <c r="A466">
        <v>10465</v>
      </c>
      <c r="B466" s="2">
        <v>45093</v>
      </c>
      <c r="C466" t="s">
        <v>11</v>
      </c>
      <c r="D466" t="s">
        <v>15</v>
      </c>
      <c r="E466" t="s">
        <v>23</v>
      </c>
      <c r="F466" t="s">
        <v>26</v>
      </c>
      <c r="G466">
        <v>1</v>
      </c>
      <c r="H466" s="4">
        <v>850</v>
      </c>
      <c r="I466" s="4">
        <v>850</v>
      </c>
      <c r="J466" t="str">
        <f>IF(Table1[[#This Row],[Revenue (£)]]&lt;500, "small", IF(Table1[[#This Row],[Revenue (£)]]&lt;2000, "medium", "Large"))</f>
        <v>medium</v>
      </c>
    </row>
    <row r="467" spans="1:10" x14ac:dyDescent="0.3">
      <c r="A467">
        <v>10466</v>
      </c>
      <c r="B467" s="2">
        <v>45017</v>
      </c>
      <c r="C467" t="s">
        <v>12</v>
      </c>
      <c r="D467" t="s">
        <v>18</v>
      </c>
      <c r="E467" t="s">
        <v>21</v>
      </c>
      <c r="F467" t="s">
        <v>25</v>
      </c>
      <c r="G467">
        <v>7</v>
      </c>
      <c r="H467" s="4">
        <v>180</v>
      </c>
      <c r="I467" s="4">
        <v>1260</v>
      </c>
      <c r="J467" t="str">
        <f>IF(Table1[[#This Row],[Revenue (£)]]&lt;500, "small", IF(Table1[[#This Row],[Revenue (£)]]&lt;2000, "medium", "Large"))</f>
        <v>medium</v>
      </c>
    </row>
    <row r="468" spans="1:10" x14ac:dyDescent="0.3">
      <c r="A468">
        <v>10467</v>
      </c>
      <c r="B468" s="2">
        <v>45457</v>
      </c>
      <c r="C468" t="s">
        <v>12</v>
      </c>
      <c r="D468" t="s">
        <v>17</v>
      </c>
      <c r="E468" t="s">
        <v>19</v>
      </c>
      <c r="F468" t="s">
        <v>25</v>
      </c>
      <c r="G468">
        <v>2</v>
      </c>
      <c r="H468" s="4">
        <v>75</v>
      </c>
      <c r="I468" s="4">
        <v>150</v>
      </c>
      <c r="J468" t="str">
        <f>IF(Table1[[#This Row],[Revenue (£)]]&lt;500, "small", IF(Table1[[#This Row],[Revenue (£)]]&lt;2000, "medium", "Large"))</f>
        <v>small</v>
      </c>
    </row>
    <row r="469" spans="1:10" x14ac:dyDescent="0.3">
      <c r="A469">
        <v>10468</v>
      </c>
      <c r="B469" s="2">
        <v>44965</v>
      </c>
      <c r="C469" t="s">
        <v>10</v>
      </c>
      <c r="D469" t="s">
        <v>16</v>
      </c>
      <c r="E469" t="s">
        <v>23</v>
      </c>
      <c r="F469" t="s">
        <v>26</v>
      </c>
      <c r="G469">
        <v>14</v>
      </c>
      <c r="H469" s="4">
        <v>850</v>
      </c>
      <c r="I469" s="4">
        <v>11900</v>
      </c>
      <c r="J469" t="str">
        <f>IF(Table1[[#This Row],[Revenue (£)]]&lt;500, "small", IF(Table1[[#This Row],[Revenue (£)]]&lt;2000, "medium", "Large"))</f>
        <v>Large</v>
      </c>
    </row>
    <row r="470" spans="1:10" x14ac:dyDescent="0.3">
      <c r="A470">
        <v>10469</v>
      </c>
      <c r="B470" s="2">
        <v>45052</v>
      </c>
      <c r="C470" t="s">
        <v>9</v>
      </c>
      <c r="D470" t="s">
        <v>17</v>
      </c>
      <c r="E470" t="s">
        <v>23</v>
      </c>
      <c r="F470" t="s">
        <v>26</v>
      </c>
      <c r="G470">
        <v>5</v>
      </c>
      <c r="H470" s="4">
        <v>850</v>
      </c>
      <c r="I470" s="4">
        <v>4250</v>
      </c>
      <c r="J470" t="str">
        <f>IF(Table1[[#This Row],[Revenue (£)]]&lt;500, "small", IF(Table1[[#This Row],[Revenue (£)]]&lt;2000, "medium", "Large"))</f>
        <v>Large</v>
      </c>
    </row>
    <row r="471" spans="1:10" x14ac:dyDescent="0.3">
      <c r="A471">
        <v>10470</v>
      </c>
      <c r="B471" s="2">
        <v>45377</v>
      </c>
      <c r="C471" t="s">
        <v>13</v>
      </c>
      <c r="D471" t="s">
        <v>18</v>
      </c>
      <c r="E471" t="s">
        <v>23</v>
      </c>
      <c r="F471" t="s">
        <v>26</v>
      </c>
      <c r="G471">
        <v>8</v>
      </c>
      <c r="H471" s="4">
        <v>850</v>
      </c>
      <c r="I471" s="4">
        <v>6800</v>
      </c>
      <c r="J471" t="str">
        <f>IF(Table1[[#This Row],[Revenue (£)]]&lt;500, "small", IF(Table1[[#This Row],[Revenue (£)]]&lt;2000, "medium", "Large"))</f>
        <v>Large</v>
      </c>
    </row>
    <row r="472" spans="1:10" x14ac:dyDescent="0.3">
      <c r="A472">
        <v>10471</v>
      </c>
      <c r="B472" s="2">
        <v>45099</v>
      </c>
      <c r="C472" t="s">
        <v>9</v>
      </c>
      <c r="D472" t="s">
        <v>14</v>
      </c>
      <c r="E472" t="s">
        <v>24</v>
      </c>
      <c r="F472" t="s">
        <v>25</v>
      </c>
      <c r="G472">
        <v>8</v>
      </c>
      <c r="H472" s="4">
        <v>30</v>
      </c>
      <c r="I472" s="4">
        <v>240</v>
      </c>
      <c r="J472" t="str">
        <f>IF(Table1[[#This Row],[Revenue (£)]]&lt;500, "small", IF(Table1[[#This Row],[Revenue (£)]]&lt;2000, "medium", "Large"))</f>
        <v>small</v>
      </c>
    </row>
    <row r="473" spans="1:10" x14ac:dyDescent="0.3">
      <c r="A473">
        <v>10472</v>
      </c>
      <c r="B473" s="2">
        <v>45146</v>
      </c>
      <c r="C473" t="s">
        <v>9</v>
      </c>
      <c r="D473" t="s">
        <v>14</v>
      </c>
      <c r="E473" t="s">
        <v>24</v>
      </c>
      <c r="F473" t="s">
        <v>25</v>
      </c>
      <c r="G473">
        <v>3</v>
      </c>
      <c r="H473" s="4">
        <v>30</v>
      </c>
      <c r="I473" s="4">
        <v>90</v>
      </c>
      <c r="J473" t="str">
        <f>IF(Table1[[#This Row],[Revenue (£)]]&lt;500, "small", IF(Table1[[#This Row],[Revenue (£)]]&lt;2000, "medium", "Large"))</f>
        <v>small</v>
      </c>
    </row>
    <row r="474" spans="1:10" x14ac:dyDescent="0.3">
      <c r="A474">
        <v>10473</v>
      </c>
      <c r="B474" s="2">
        <v>44984</v>
      </c>
      <c r="C474" t="s">
        <v>10</v>
      </c>
      <c r="D474" t="s">
        <v>14</v>
      </c>
      <c r="E474" t="s">
        <v>22</v>
      </c>
      <c r="F474" t="s">
        <v>25</v>
      </c>
      <c r="G474">
        <v>7</v>
      </c>
      <c r="H474" s="4">
        <v>45</v>
      </c>
      <c r="I474" s="4">
        <v>315</v>
      </c>
      <c r="J474" t="str">
        <f>IF(Table1[[#This Row],[Revenue (£)]]&lt;500, "small", IF(Table1[[#This Row],[Revenue (£)]]&lt;2000, "medium", "Large"))</f>
        <v>small</v>
      </c>
    </row>
    <row r="475" spans="1:10" x14ac:dyDescent="0.3">
      <c r="A475">
        <v>10474</v>
      </c>
      <c r="B475" s="2">
        <v>45402</v>
      </c>
      <c r="C475" t="s">
        <v>10</v>
      </c>
      <c r="D475" t="s">
        <v>16</v>
      </c>
      <c r="E475" t="s">
        <v>20</v>
      </c>
      <c r="F475" t="s">
        <v>26</v>
      </c>
      <c r="G475">
        <v>3</v>
      </c>
      <c r="H475" s="4">
        <v>220</v>
      </c>
      <c r="I475" s="4">
        <v>660</v>
      </c>
      <c r="J475" t="str">
        <f>IF(Table1[[#This Row],[Revenue (£)]]&lt;500, "small", IF(Table1[[#This Row],[Revenue (£)]]&lt;2000, "medium", "Large"))</f>
        <v>medium</v>
      </c>
    </row>
    <row r="476" spans="1:10" x14ac:dyDescent="0.3">
      <c r="A476">
        <v>10475</v>
      </c>
      <c r="B476" s="2">
        <v>45382</v>
      </c>
      <c r="C476" t="s">
        <v>10</v>
      </c>
      <c r="D476" t="s">
        <v>15</v>
      </c>
      <c r="E476" t="s">
        <v>21</v>
      </c>
      <c r="F476" t="s">
        <v>25</v>
      </c>
      <c r="G476">
        <v>6</v>
      </c>
      <c r="H476" s="4">
        <v>180</v>
      </c>
      <c r="I476" s="4">
        <v>1080</v>
      </c>
      <c r="J476" t="str">
        <f>IF(Table1[[#This Row],[Revenue (£)]]&lt;500, "small", IF(Table1[[#This Row],[Revenue (£)]]&lt;2000, "medium", "Large"))</f>
        <v>medium</v>
      </c>
    </row>
    <row r="477" spans="1:10" x14ac:dyDescent="0.3">
      <c r="A477">
        <v>10476</v>
      </c>
      <c r="B477" s="2">
        <v>45287</v>
      </c>
      <c r="C477" t="s">
        <v>10</v>
      </c>
      <c r="D477" t="s">
        <v>15</v>
      </c>
      <c r="E477" t="s">
        <v>21</v>
      </c>
      <c r="F477" t="s">
        <v>25</v>
      </c>
      <c r="G477">
        <v>6</v>
      </c>
      <c r="H477" s="4">
        <v>180</v>
      </c>
      <c r="I477" s="4">
        <v>1080</v>
      </c>
      <c r="J477" t="str">
        <f>IF(Table1[[#This Row],[Revenue (£)]]&lt;500, "small", IF(Table1[[#This Row],[Revenue (£)]]&lt;2000, "medium", "Large"))</f>
        <v>medium</v>
      </c>
    </row>
    <row r="478" spans="1:10" x14ac:dyDescent="0.3">
      <c r="A478">
        <v>10477</v>
      </c>
      <c r="B478" s="2">
        <v>44927</v>
      </c>
      <c r="C478" t="s">
        <v>12</v>
      </c>
      <c r="D478" t="s">
        <v>17</v>
      </c>
      <c r="E478" t="s">
        <v>21</v>
      </c>
      <c r="F478" t="s">
        <v>25</v>
      </c>
      <c r="G478">
        <v>3</v>
      </c>
      <c r="H478" s="4">
        <v>180</v>
      </c>
      <c r="I478" s="4">
        <v>540</v>
      </c>
      <c r="J478" t="str">
        <f>IF(Table1[[#This Row],[Revenue (£)]]&lt;500, "small", IF(Table1[[#This Row],[Revenue (£)]]&lt;2000, "medium", "Large"))</f>
        <v>medium</v>
      </c>
    </row>
    <row r="479" spans="1:10" x14ac:dyDescent="0.3">
      <c r="A479">
        <v>10478</v>
      </c>
      <c r="B479" s="2">
        <v>45313</v>
      </c>
      <c r="C479" t="s">
        <v>10</v>
      </c>
      <c r="D479" t="s">
        <v>16</v>
      </c>
      <c r="E479" t="s">
        <v>22</v>
      </c>
      <c r="F479" t="s">
        <v>25</v>
      </c>
      <c r="G479">
        <v>7</v>
      </c>
      <c r="H479" s="4">
        <v>45</v>
      </c>
      <c r="I479" s="4">
        <v>315</v>
      </c>
      <c r="J479" t="str">
        <f>IF(Table1[[#This Row],[Revenue (£)]]&lt;500, "small", IF(Table1[[#This Row],[Revenue (£)]]&lt;2000, "medium", "Large"))</f>
        <v>small</v>
      </c>
    </row>
    <row r="480" spans="1:10" x14ac:dyDescent="0.3">
      <c r="A480">
        <v>10479</v>
      </c>
      <c r="B480" s="2">
        <v>45274</v>
      </c>
      <c r="C480" t="s">
        <v>12</v>
      </c>
      <c r="D480" t="s">
        <v>14</v>
      </c>
      <c r="E480" t="s">
        <v>24</v>
      </c>
      <c r="F480" t="s">
        <v>25</v>
      </c>
      <c r="G480">
        <v>3</v>
      </c>
      <c r="H480" s="4">
        <v>30</v>
      </c>
      <c r="I480" s="4">
        <v>90</v>
      </c>
      <c r="J480" t="str">
        <f>IF(Table1[[#This Row],[Revenue (£)]]&lt;500, "small", IF(Table1[[#This Row],[Revenue (£)]]&lt;2000, "medium", "Large"))</f>
        <v>small</v>
      </c>
    </row>
    <row r="481" spans="1:10" x14ac:dyDescent="0.3">
      <c r="A481">
        <v>10480</v>
      </c>
      <c r="B481" s="2">
        <v>45116</v>
      </c>
      <c r="C481" t="s">
        <v>12</v>
      </c>
      <c r="D481" t="s">
        <v>14</v>
      </c>
      <c r="E481" t="s">
        <v>19</v>
      </c>
      <c r="F481" t="s">
        <v>25</v>
      </c>
      <c r="G481">
        <v>8</v>
      </c>
      <c r="H481" s="4">
        <v>75</v>
      </c>
      <c r="I481" s="4">
        <v>600</v>
      </c>
      <c r="J481" t="str">
        <f>IF(Table1[[#This Row],[Revenue (£)]]&lt;500, "small", IF(Table1[[#This Row],[Revenue (£)]]&lt;2000, "medium", "Large"))</f>
        <v>medium</v>
      </c>
    </row>
    <row r="482" spans="1:10" x14ac:dyDescent="0.3">
      <c r="A482">
        <v>10481</v>
      </c>
      <c r="B482" s="2">
        <v>45431</v>
      </c>
      <c r="C482" t="s">
        <v>10</v>
      </c>
      <c r="D482" t="s">
        <v>18</v>
      </c>
      <c r="E482" t="s">
        <v>19</v>
      </c>
      <c r="F482" t="s">
        <v>25</v>
      </c>
      <c r="G482">
        <v>10</v>
      </c>
      <c r="H482" s="4">
        <v>75</v>
      </c>
      <c r="I482" s="4">
        <v>750</v>
      </c>
      <c r="J482" t="str">
        <f>IF(Table1[[#This Row],[Revenue (£)]]&lt;500, "small", IF(Table1[[#This Row],[Revenue (£)]]&lt;2000, "medium", "Large"))</f>
        <v>medium</v>
      </c>
    </row>
    <row r="483" spans="1:10" x14ac:dyDescent="0.3">
      <c r="A483">
        <v>10482</v>
      </c>
      <c r="B483" s="2">
        <v>45117</v>
      </c>
      <c r="C483" t="s">
        <v>11</v>
      </c>
      <c r="D483" t="s">
        <v>18</v>
      </c>
      <c r="E483" t="s">
        <v>22</v>
      </c>
      <c r="F483" t="s">
        <v>25</v>
      </c>
      <c r="G483">
        <v>4</v>
      </c>
      <c r="H483" s="4">
        <v>45</v>
      </c>
      <c r="I483" s="4">
        <v>180</v>
      </c>
      <c r="J483" t="str">
        <f>IF(Table1[[#This Row],[Revenue (£)]]&lt;500, "small", IF(Table1[[#This Row],[Revenue (£)]]&lt;2000, "medium", "Large"))</f>
        <v>small</v>
      </c>
    </row>
    <row r="484" spans="1:10" x14ac:dyDescent="0.3">
      <c r="A484">
        <v>10483</v>
      </c>
      <c r="B484" s="2">
        <v>45434</v>
      </c>
      <c r="C484" t="s">
        <v>13</v>
      </c>
      <c r="D484" t="s">
        <v>14</v>
      </c>
      <c r="E484" t="s">
        <v>19</v>
      </c>
      <c r="F484" t="s">
        <v>25</v>
      </c>
      <c r="G484">
        <v>13</v>
      </c>
      <c r="H484" s="4">
        <v>75</v>
      </c>
      <c r="I484" s="4">
        <v>975</v>
      </c>
      <c r="J484" t="str">
        <f>IF(Table1[[#This Row],[Revenue (£)]]&lt;500, "small", IF(Table1[[#This Row],[Revenue (£)]]&lt;2000, "medium", "Large"))</f>
        <v>medium</v>
      </c>
    </row>
    <row r="485" spans="1:10" x14ac:dyDescent="0.3">
      <c r="A485">
        <v>10484</v>
      </c>
      <c r="B485" s="2">
        <v>45295</v>
      </c>
      <c r="C485" t="s">
        <v>9</v>
      </c>
      <c r="D485" t="s">
        <v>14</v>
      </c>
      <c r="E485" t="s">
        <v>21</v>
      </c>
      <c r="F485" t="s">
        <v>25</v>
      </c>
      <c r="G485">
        <v>1</v>
      </c>
      <c r="H485" s="4">
        <v>180</v>
      </c>
      <c r="I485" s="4">
        <v>180</v>
      </c>
      <c r="J485" t="str">
        <f>IF(Table1[[#This Row],[Revenue (£)]]&lt;500, "small", IF(Table1[[#This Row],[Revenue (£)]]&lt;2000, "medium", "Large"))</f>
        <v>small</v>
      </c>
    </row>
    <row r="486" spans="1:10" x14ac:dyDescent="0.3">
      <c r="A486">
        <v>10485</v>
      </c>
      <c r="B486" s="2">
        <v>45335</v>
      </c>
      <c r="C486" t="s">
        <v>12</v>
      </c>
      <c r="D486" t="s">
        <v>16</v>
      </c>
      <c r="E486" t="s">
        <v>20</v>
      </c>
      <c r="F486" t="s">
        <v>26</v>
      </c>
      <c r="G486">
        <v>4</v>
      </c>
      <c r="H486" s="4">
        <v>220</v>
      </c>
      <c r="I486" s="4">
        <v>880</v>
      </c>
      <c r="J486" t="str">
        <f>IF(Table1[[#This Row],[Revenue (£)]]&lt;500, "small", IF(Table1[[#This Row],[Revenue (£)]]&lt;2000, "medium", "Large"))</f>
        <v>medium</v>
      </c>
    </row>
    <row r="487" spans="1:10" x14ac:dyDescent="0.3">
      <c r="A487">
        <v>10486</v>
      </c>
      <c r="B487" s="2">
        <v>45043</v>
      </c>
      <c r="C487" t="s">
        <v>13</v>
      </c>
      <c r="D487" t="s">
        <v>15</v>
      </c>
      <c r="E487" t="s">
        <v>23</v>
      </c>
      <c r="F487" t="s">
        <v>26</v>
      </c>
      <c r="G487">
        <v>14</v>
      </c>
      <c r="H487" s="4">
        <v>850</v>
      </c>
      <c r="I487" s="4">
        <v>11900</v>
      </c>
      <c r="J487" t="str">
        <f>IF(Table1[[#This Row],[Revenue (£)]]&lt;500, "small", IF(Table1[[#This Row],[Revenue (£)]]&lt;2000, "medium", "Large"))</f>
        <v>Large</v>
      </c>
    </row>
    <row r="488" spans="1:10" x14ac:dyDescent="0.3">
      <c r="A488">
        <v>10487</v>
      </c>
      <c r="B488" s="2">
        <v>45060</v>
      </c>
      <c r="C488" t="s">
        <v>11</v>
      </c>
      <c r="D488" t="s">
        <v>18</v>
      </c>
      <c r="E488" t="s">
        <v>24</v>
      </c>
      <c r="F488" t="s">
        <v>25</v>
      </c>
      <c r="G488">
        <v>7</v>
      </c>
      <c r="H488" s="4">
        <v>30</v>
      </c>
      <c r="I488" s="4">
        <v>210</v>
      </c>
      <c r="J488" t="str">
        <f>IF(Table1[[#This Row],[Revenue (£)]]&lt;500, "small", IF(Table1[[#This Row],[Revenue (£)]]&lt;2000, "medium", "Large"))</f>
        <v>small</v>
      </c>
    </row>
    <row r="489" spans="1:10" x14ac:dyDescent="0.3">
      <c r="A489">
        <v>10488</v>
      </c>
      <c r="B489" s="2">
        <v>44984</v>
      </c>
      <c r="C489" t="s">
        <v>9</v>
      </c>
      <c r="D489" t="s">
        <v>15</v>
      </c>
      <c r="E489" t="s">
        <v>24</v>
      </c>
      <c r="F489" t="s">
        <v>25</v>
      </c>
      <c r="G489">
        <v>11</v>
      </c>
      <c r="H489" s="4">
        <v>30</v>
      </c>
      <c r="I489" s="4">
        <v>330</v>
      </c>
      <c r="J489" t="str">
        <f>IF(Table1[[#This Row],[Revenue (£)]]&lt;500, "small", IF(Table1[[#This Row],[Revenue (£)]]&lt;2000, "medium", "Large"))</f>
        <v>small</v>
      </c>
    </row>
    <row r="490" spans="1:10" x14ac:dyDescent="0.3">
      <c r="A490">
        <v>10489</v>
      </c>
      <c r="B490" s="2">
        <v>45099</v>
      </c>
      <c r="C490" t="s">
        <v>9</v>
      </c>
      <c r="D490" t="s">
        <v>16</v>
      </c>
      <c r="E490" t="s">
        <v>22</v>
      </c>
      <c r="F490" t="s">
        <v>25</v>
      </c>
      <c r="G490">
        <v>4</v>
      </c>
      <c r="H490" s="4">
        <v>45</v>
      </c>
      <c r="I490" s="4">
        <v>180</v>
      </c>
      <c r="J490" t="str">
        <f>IF(Table1[[#This Row],[Revenue (£)]]&lt;500, "small", IF(Table1[[#This Row],[Revenue (£)]]&lt;2000, "medium", "Large"))</f>
        <v>small</v>
      </c>
    </row>
    <row r="491" spans="1:10" x14ac:dyDescent="0.3">
      <c r="A491">
        <v>10490</v>
      </c>
      <c r="B491" s="2">
        <v>45075</v>
      </c>
      <c r="C491" t="s">
        <v>12</v>
      </c>
      <c r="D491" t="s">
        <v>14</v>
      </c>
      <c r="E491" t="s">
        <v>24</v>
      </c>
      <c r="F491" t="s">
        <v>25</v>
      </c>
      <c r="G491">
        <v>13</v>
      </c>
      <c r="H491" s="4">
        <v>30</v>
      </c>
      <c r="I491" s="4">
        <v>390</v>
      </c>
      <c r="J491" t="str">
        <f>IF(Table1[[#This Row],[Revenue (£)]]&lt;500, "small", IF(Table1[[#This Row],[Revenue (£)]]&lt;2000, "medium", "Large"))</f>
        <v>small</v>
      </c>
    </row>
    <row r="492" spans="1:10" x14ac:dyDescent="0.3">
      <c r="A492">
        <v>10491</v>
      </c>
      <c r="B492" s="2">
        <v>45006</v>
      </c>
      <c r="C492" t="s">
        <v>10</v>
      </c>
      <c r="D492" t="s">
        <v>15</v>
      </c>
      <c r="E492" t="s">
        <v>21</v>
      </c>
      <c r="F492" t="s">
        <v>25</v>
      </c>
      <c r="G492">
        <v>6</v>
      </c>
      <c r="H492" s="4">
        <v>180</v>
      </c>
      <c r="I492" s="4">
        <v>1080</v>
      </c>
      <c r="J492" t="str">
        <f>IF(Table1[[#This Row],[Revenue (£)]]&lt;500, "small", IF(Table1[[#This Row],[Revenue (£)]]&lt;2000, "medium", "Large"))</f>
        <v>medium</v>
      </c>
    </row>
    <row r="493" spans="1:10" x14ac:dyDescent="0.3">
      <c r="A493">
        <v>10492</v>
      </c>
      <c r="B493" s="2">
        <v>45139</v>
      </c>
      <c r="C493" t="s">
        <v>11</v>
      </c>
      <c r="D493" t="s">
        <v>14</v>
      </c>
      <c r="E493" t="s">
        <v>19</v>
      </c>
      <c r="F493" t="s">
        <v>25</v>
      </c>
      <c r="G493">
        <v>9</v>
      </c>
      <c r="H493" s="4">
        <v>75</v>
      </c>
      <c r="I493" s="4">
        <v>675</v>
      </c>
      <c r="J493" t="str">
        <f>IF(Table1[[#This Row],[Revenue (£)]]&lt;500, "small", IF(Table1[[#This Row],[Revenue (£)]]&lt;2000, "medium", "Large"))</f>
        <v>medium</v>
      </c>
    </row>
    <row r="494" spans="1:10" x14ac:dyDescent="0.3">
      <c r="A494">
        <v>10493</v>
      </c>
      <c r="B494" s="2">
        <v>45129</v>
      </c>
      <c r="C494" t="s">
        <v>12</v>
      </c>
      <c r="D494" t="s">
        <v>14</v>
      </c>
      <c r="E494" t="s">
        <v>21</v>
      </c>
      <c r="F494" t="s">
        <v>25</v>
      </c>
      <c r="G494">
        <v>1</v>
      </c>
      <c r="H494" s="4">
        <v>180</v>
      </c>
      <c r="I494" s="4">
        <v>180</v>
      </c>
      <c r="J494" t="str">
        <f>IF(Table1[[#This Row],[Revenue (£)]]&lt;500, "small", IF(Table1[[#This Row],[Revenue (£)]]&lt;2000, "medium", "Large"))</f>
        <v>small</v>
      </c>
    </row>
    <row r="495" spans="1:10" x14ac:dyDescent="0.3">
      <c r="A495">
        <v>10494</v>
      </c>
      <c r="B495" s="2">
        <v>45155</v>
      </c>
      <c r="C495" t="s">
        <v>11</v>
      </c>
      <c r="D495" t="s">
        <v>17</v>
      </c>
      <c r="E495" t="s">
        <v>22</v>
      </c>
      <c r="F495" t="s">
        <v>25</v>
      </c>
      <c r="G495">
        <v>13</v>
      </c>
      <c r="H495" s="4">
        <v>45</v>
      </c>
      <c r="I495" s="4">
        <v>585</v>
      </c>
      <c r="J495" t="str">
        <f>IF(Table1[[#This Row],[Revenue (£)]]&lt;500, "small", IF(Table1[[#This Row],[Revenue (£)]]&lt;2000, "medium", "Large"))</f>
        <v>medium</v>
      </c>
    </row>
    <row r="496" spans="1:10" x14ac:dyDescent="0.3">
      <c r="A496">
        <v>10495</v>
      </c>
      <c r="B496" s="2">
        <v>45153</v>
      </c>
      <c r="C496" t="s">
        <v>10</v>
      </c>
      <c r="D496" t="s">
        <v>15</v>
      </c>
      <c r="E496" t="s">
        <v>21</v>
      </c>
      <c r="F496" t="s">
        <v>25</v>
      </c>
      <c r="G496">
        <v>5</v>
      </c>
      <c r="H496" s="4">
        <v>180</v>
      </c>
      <c r="I496" s="4">
        <v>900</v>
      </c>
      <c r="J496" t="str">
        <f>IF(Table1[[#This Row],[Revenue (£)]]&lt;500, "small", IF(Table1[[#This Row],[Revenue (£)]]&lt;2000, "medium", "Large"))</f>
        <v>medium</v>
      </c>
    </row>
    <row r="497" spans="1:10" x14ac:dyDescent="0.3">
      <c r="A497">
        <v>10496</v>
      </c>
      <c r="B497" s="2">
        <v>45458</v>
      </c>
      <c r="C497" t="s">
        <v>10</v>
      </c>
      <c r="D497" t="s">
        <v>15</v>
      </c>
      <c r="E497" t="s">
        <v>19</v>
      </c>
      <c r="F497" t="s">
        <v>25</v>
      </c>
      <c r="G497">
        <v>11</v>
      </c>
      <c r="H497" s="4">
        <v>75</v>
      </c>
      <c r="I497" s="4">
        <v>825</v>
      </c>
      <c r="J497" t="str">
        <f>IF(Table1[[#This Row],[Revenue (£)]]&lt;500, "small", IF(Table1[[#This Row],[Revenue (£)]]&lt;2000, "medium", "Large"))</f>
        <v>medium</v>
      </c>
    </row>
    <row r="498" spans="1:10" x14ac:dyDescent="0.3">
      <c r="A498">
        <v>10497</v>
      </c>
      <c r="B498" s="2">
        <v>45367</v>
      </c>
      <c r="C498" t="s">
        <v>12</v>
      </c>
      <c r="D498" t="s">
        <v>14</v>
      </c>
      <c r="E498" t="s">
        <v>20</v>
      </c>
      <c r="F498" t="s">
        <v>26</v>
      </c>
      <c r="G498">
        <v>7</v>
      </c>
      <c r="H498" s="4">
        <v>220</v>
      </c>
      <c r="I498" s="4">
        <v>1540</v>
      </c>
      <c r="J498" t="str">
        <f>IF(Table1[[#This Row],[Revenue (£)]]&lt;500, "small", IF(Table1[[#This Row],[Revenue (£)]]&lt;2000, "medium", "Large"))</f>
        <v>medium</v>
      </c>
    </row>
    <row r="499" spans="1:10" x14ac:dyDescent="0.3">
      <c r="A499">
        <v>10498</v>
      </c>
      <c r="B499" s="2">
        <v>45328</v>
      </c>
      <c r="C499" t="s">
        <v>10</v>
      </c>
      <c r="D499" t="s">
        <v>16</v>
      </c>
      <c r="E499" t="s">
        <v>22</v>
      </c>
      <c r="F499" t="s">
        <v>25</v>
      </c>
      <c r="G499">
        <v>1</v>
      </c>
      <c r="H499" s="4">
        <v>45</v>
      </c>
      <c r="I499" s="4">
        <v>45</v>
      </c>
      <c r="J499" t="str">
        <f>IF(Table1[[#This Row],[Revenue (£)]]&lt;500, "small", IF(Table1[[#This Row],[Revenue (£)]]&lt;2000, "medium", "Large"))</f>
        <v>small</v>
      </c>
    </row>
    <row r="500" spans="1:10" x14ac:dyDescent="0.3">
      <c r="A500">
        <v>10499</v>
      </c>
      <c r="B500" s="2">
        <v>44973</v>
      </c>
      <c r="C500" t="s">
        <v>13</v>
      </c>
      <c r="D500" t="s">
        <v>17</v>
      </c>
      <c r="E500" t="s">
        <v>20</v>
      </c>
      <c r="F500" t="s">
        <v>26</v>
      </c>
      <c r="G500">
        <v>14</v>
      </c>
      <c r="H500" s="4">
        <v>220</v>
      </c>
      <c r="I500" s="4">
        <v>3080</v>
      </c>
      <c r="J500" t="str">
        <f>IF(Table1[[#This Row],[Revenue (£)]]&lt;500, "small", IF(Table1[[#This Row],[Revenue (£)]]&lt;2000, "medium", "Large"))</f>
        <v>Large</v>
      </c>
    </row>
    <row r="501" spans="1:10" x14ac:dyDescent="0.3">
      <c r="A501">
        <v>10500</v>
      </c>
      <c r="B501" s="2">
        <v>45159</v>
      </c>
      <c r="C501" t="s">
        <v>9</v>
      </c>
      <c r="D501" t="s">
        <v>14</v>
      </c>
      <c r="E501" t="s">
        <v>23</v>
      </c>
      <c r="F501" t="s">
        <v>26</v>
      </c>
      <c r="G501">
        <v>4</v>
      </c>
      <c r="H501" s="4">
        <v>850</v>
      </c>
      <c r="I501" s="4">
        <v>3400</v>
      </c>
      <c r="J501" t="str">
        <f>IF(Table1[[#This Row],[Revenue (£)]]&lt;500, "small", IF(Table1[[#This Row],[Revenue (£)]]&lt;2000, "medium", "Large"))</f>
        <v>Large</v>
      </c>
    </row>
    <row r="502" spans="1:10" x14ac:dyDescent="0.3">
      <c r="B502"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FF2A-B756-42E9-83CD-9B3322DA3FA1}">
  <dimension ref="A1:C4"/>
  <sheetViews>
    <sheetView workbookViewId="0">
      <selection activeCell="C23" sqref="C23"/>
    </sheetView>
  </sheetViews>
  <sheetFormatPr defaultRowHeight="14.4" x14ac:dyDescent="0.3"/>
  <cols>
    <col min="1" max="1" width="20.21875" customWidth="1"/>
    <col min="2" max="2" width="25.33203125" customWidth="1"/>
    <col min="3" max="3" width="16.44140625" customWidth="1"/>
  </cols>
  <sheetData>
    <row r="1" spans="1:3" x14ac:dyDescent="0.3">
      <c r="A1" s="5" t="s">
        <v>31</v>
      </c>
      <c r="B1" s="5" t="s">
        <v>32</v>
      </c>
      <c r="C1" s="5" t="s">
        <v>33</v>
      </c>
    </row>
    <row r="2" spans="1:3" x14ac:dyDescent="0.3">
      <c r="A2" s="6" t="s">
        <v>28</v>
      </c>
      <c r="B2" s="7" t="s">
        <v>35</v>
      </c>
      <c r="C2" s="20">
        <f>SUM(Raw_Data!I:I)</f>
        <v>901515</v>
      </c>
    </row>
    <row r="3" spans="1:3" x14ac:dyDescent="0.3">
      <c r="A3" s="6" t="s">
        <v>29</v>
      </c>
      <c r="B3" s="7" t="s">
        <v>36</v>
      </c>
      <c r="C3" s="6">
        <f>COUNT(Raw_Data!A:A)</f>
        <v>500</v>
      </c>
    </row>
    <row r="4" spans="1:3" x14ac:dyDescent="0.3">
      <c r="A4" s="6" t="s">
        <v>30</v>
      </c>
      <c r="B4" s="7" t="s">
        <v>34</v>
      </c>
      <c r="C4" s="20">
        <f>C2/C3</f>
        <v>1803.03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33DE-3F80-44DF-9C9A-CFDF38241B6C}">
  <dimension ref="A3:B4"/>
  <sheetViews>
    <sheetView workbookViewId="0">
      <selection activeCell="C15" sqref="C15"/>
    </sheetView>
  </sheetViews>
  <sheetFormatPr defaultRowHeight="14.4" x14ac:dyDescent="0.3"/>
  <cols>
    <col min="1" max="1" width="13.109375" bestFit="1" customWidth="1"/>
    <col min="2" max="2" width="15.88671875" bestFit="1" customWidth="1"/>
  </cols>
  <sheetData>
    <row r="3" spans="1:2" x14ac:dyDescent="0.3">
      <c r="A3" t="s">
        <v>28</v>
      </c>
      <c r="B3" t="s">
        <v>40</v>
      </c>
    </row>
    <row r="4" spans="1:2" x14ac:dyDescent="0.3">
      <c r="A4" s="23">
        <v>901515</v>
      </c>
      <c r="B4" s="24">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7AAE-2543-4287-A255-4F4AACBCE137}">
  <dimension ref="A3:B9"/>
  <sheetViews>
    <sheetView workbookViewId="0">
      <selection activeCell="B4" sqref="B4:B8"/>
    </sheetView>
  </sheetViews>
  <sheetFormatPr defaultRowHeight="14.4" x14ac:dyDescent="0.3"/>
  <cols>
    <col min="1" max="1" width="12.5546875" bestFit="1" customWidth="1"/>
    <col min="2" max="2" width="13.109375" bestFit="1" customWidth="1"/>
  </cols>
  <sheetData>
    <row r="3" spans="1:2" x14ac:dyDescent="0.3">
      <c r="A3" s="9" t="s">
        <v>37</v>
      </c>
      <c r="B3" t="s">
        <v>28</v>
      </c>
    </row>
    <row r="4" spans="1:2" x14ac:dyDescent="0.3">
      <c r="A4" s="10" t="s">
        <v>10</v>
      </c>
      <c r="B4" s="19">
        <v>207455</v>
      </c>
    </row>
    <row r="5" spans="1:2" x14ac:dyDescent="0.3">
      <c r="A5" s="10" t="s">
        <v>12</v>
      </c>
      <c r="B5" s="19">
        <v>196985</v>
      </c>
    </row>
    <row r="6" spans="1:2" x14ac:dyDescent="0.3">
      <c r="A6" s="10" t="s">
        <v>9</v>
      </c>
      <c r="B6" s="19">
        <v>193685</v>
      </c>
    </row>
    <row r="7" spans="1:2" x14ac:dyDescent="0.3">
      <c r="A7" s="10" t="s">
        <v>13</v>
      </c>
      <c r="B7" s="19">
        <v>162715</v>
      </c>
    </row>
    <row r="8" spans="1:2" x14ac:dyDescent="0.3">
      <c r="A8" s="10" t="s">
        <v>11</v>
      </c>
      <c r="B8" s="19">
        <v>140675</v>
      </c>
    </row>
    <row r="9" spans="1:2" x14ac:dyDescent="0.3">
      <c r="A9" s="10" t="s">
        <v>39</v>
      </c>
      <c r="B9" s="22">
        <v>901515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DC8A-F1BE-438C-80D9-4A96C3994C22}">
  <dimension ref="A3:E10"/>
  <sheetViews>
    <sheetView workbookViewId="0">
      <selection activeCell="I10" sqref="I10"/>
    </sheetView>
  </sheetViews>
  <sheetFormatPr defaultRowHeight="14.4" x14ac:dyDescent="0.3"/>
  <cols>
    <col min="1" max="1" width="12.5546875" bestFit="1" customWidth="1"/>
    <col min="2" max="2" width="12.44140625" bestFit="1" customWidth="1"/>
    <col min="4" max="4" width="12.5546875" bestFit="1" customWidth="1"/>
    <col min="5" max="5" width="13.5546875" bestFit="1" customWidth="1"/>
  </cols>
  <sheetData>
    <row r="3" spans="1:5" x14ac:dyDescent="0.3">
      <c r="A3" s="9" t="s">
        <v>37</v>
      </c>
      <c r="B3" t="s">
        <v>60</v>
      </c>
      <c r="D3" s="9" t="s">
        <v>37</v>
      </c>
      <c r="E3" t="s">
        <v>63</v>
      </c>
    </row>
    <row r="4" spans="1:5" x14ac:dyDescent="0.3">
      <c r="A4" s="10" t="s">
        <v>10</v>
      </c>
      <c r="B4" s="11">
        <v>0.23011818993583025</v>
      </c>
      <c r="D4" s="10" t="s">
        <v>10</v>
      </c>
      <c r="E4" s="4">
        <v>207455</v>
      </c>
    </row>
    <row r="5" spans="1:5" x14ac:dyDescent="0.3">
      <c r="A5" s="10" t="s">
        <v>12</v>
      </c>
      <c r="B5" s="11">
        <v>0.21850440647132882</v>
      </c>
      <c r="D5" s="10" t="s">
        <v>12</v>
      </c>
      <c r="E5" s="4">
        <v>196985</v>
      </c>
    </row>
    <row r="6" spans="1:5" x14ac:dyDescent="0.3">
      <c r="A6" s="10" t="s">
        <v>9</v>
      </c>
      <c r="B6" s="11">
        <v>0.21484390165443726</v>
      </c>
      <c r="D6" s="10" t="s">
        <v>9</v>
      </c>
      <c r="E6" s="4">
        <v>193685</v>
      </c>
    </row>
    <row r="7" spans="1:5" x14ac:dyDescent="0.3">
      <c r="A7" s="10" t="s">
        <v>13</v>
      </c>
      <c r="B7" s="11">
        <v>0.18049061856985185</v>
      </c>
      <c r="D7" s="10" t="s">
        <v>13</v>
      </c>
      <c r="E7" s="4">
        <v>162715</v>
      </c>
    </row>
    <row r="8" spans="1:5" x14ac:dyDescent="0.3">
      <c r="A8" s="10" t="s">
        <v>11</v>
      </c>
      <c r="B8" s="11">
        <v>0.15604288336855182</v>
      </c>
      <c r="D8" s="10" t="s">
        <v>11</v>
      </c>
      <c r="E8" s="4">
        <v>140675</v>
      </c>
    </row>
    <row r="9" spans="1:5" x14ac:dyDescent="0.3">
      <c r="A9" s="10" t="s">
        <v>38</v>
      </c>
      <c r="B9" s="11">
        <v>0</v>
      </c>
      <c r="D9" s="10" t="s">
        <v>39</v>
      </c>
      <c r="E9" s="22">
        <v>901515</v>
      </c>
    </row>
    <row r="10" spans="1:5" x14ac:dyDescent="0.3">
      <c r="A10" s="10" t="s">
        <v>39</v>
      </c>
      <c r="B10" s="1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983B-B377-4128-927D-397FAFC27FAA}">
  <dimension ref="A3:B10"/>
  <sheetViews>
    <sheetView workbookViewId="0">
      <selection activeCell="G21" sqref="G21"/>
    </sheetView>
  </sheetViews>
  <sheetFormatPr defaultRowHeight="14.4" x14ac:dyDescent="0.3"/>
  <cols>
    <col min="1" max="1" width="13.77734375" bestFit="1" customWidth="1"/>
    <col min="2" max="2" width="13.109375" bestFit="1" customWidth="1"/>
  </cols>
  <sheetData>
    <row r="3" spans="1:2" x14ac:dyDescent="0.3">
      <c r="A3" s="9" t="s">
        <v>37</v>
      </c>
      <c r="B3" t="s">
        <v>28</v>
      </c>
    </row>
    <row r="4" spans="1:2" x14ac:dyDescent="0.3">
      <c r="A4" s="10" t="s">
        <v>23</v>
      </c>
      <c r="B4" s="19">
        <v>562700</v>
      </c>
    </row>
    <row r="5" spans="1:2" x14ac:dyDescent="0.3">
      <c r="A5" s="10" t="s">
        <v>20</v>
      </c>
      <c r="B5" s="19">
        <v>148720</v>
      </c>
    </row>
    <row r="6" spans="1:2" x14ac:dyDescent="0.3">
      <c r="A6" s="10" t="s">
        <v>21</v>
      </c>
      <c r="B6" s="19">
        <v>104760</v>
      </c>
    </row>
    <row r="7" spans="1:2" x14ac:dyDescent="0.3">
      <c r="A7" s="10" t="s">
        <v>19</v>
      </c>
      <c r="B7" s="19">
        <v>42225</v>
      </c>
    </row>
    <row r="8" spans="1:2" x14ac:dyDescent="0.3">
      <c r="A8" s="10" t="s">
        <v>22</v>
      </c>
      <c r="B8" s="19">
        <v>26460</v>
      </c>
    </row>
    <row r="9" spans="1:2" x14ac:dyDescent="0.3">
      <c r="A9" s="10" t="s">
        <v>24</v>
      </c>
      <c r="B9" s="19">
        <v>16650</v>
      </c>
    </row>
    <row r="10" spans="1:2" x14ac:dyDescent="0.3">
      <c r="A10" s="10" t="s">
        <v>39</v>
      </c>
      <c r="B10" s="22">
        <v>901515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2C70-AE9C-4296-B95A-1B090ADD0761}">
  <dimension ref="A3:C8"/>
  <sheetViews>
    <sheetView workbookViewId="0">
      <selection activeCell="D23" sqref="D23"/>
    </sheetView>
  </sheetViews>
  <sheetFormatPr defaultRowHeight="14.4" x14ac:dyDescent="0.3"/>
  <cols>
    <col min="1" max="1" width="12.5546875" bestFit="1" customWidth="1"/>
    <col min="2" max="2" width="12.44140625" bestFit="1" customWidth="1"/>
    <col min="3" max="3" width="10.6640625" bestFit="1" customWidth="1"/>
    <col min="4" max="4" width="16" bestFit="1" customWidth="1"/>
  </cols>
  <sheetData>
    <row r="3" spans="1:3" x14ac:dyDescent="0.3">
      <c r="A3" s="9" t="s">
        <v>37</v>
      </c>
      <c r="B3" t="s">
        <v>60</v>
      </c>
      <c r="C3" t="s">
        <v>59</v>
      </c>
    </row>
    <row r="4" spans="1:3" x14ac:dyDescent="0.3">
      <c r="A4" s="18" t="s">
        <v>55</v>
      </c>
      <c r="B4" s="17">
        <v>0.73673760281304246</v>
      </c>
      <c r="C4" s="17">
        <v>0.23799999999999999</v>
      </c>
    </row>
    <row r="5" spans="1:3" x14ac:dyDescent="0.3">
      <c r="A5" s="18" t="s">
        <v>56</v>
      </c>
      <c r="B5" s="17">
        <v>0.20469986633611198</v>
      </c>
      <c r="C5" s="17">
        <v>0.33800000000000002</v>
      </c>
    </row>
    <row r="6" spans="1:3" x14ac:dyDescent="0.3">
      <c r="A6" s="18" t="s">
        <v>57</v>
      </c>
      <c r="B6" s="17">
        <v>5.8562530850845521E-2</v>
      </c>
      <c r="C6" s="17">
        <v>0.42399999999999999</v>
      </c>
    </row>
    <row r="7" spans="1:3" x14ac:dyDescent="0.3">
      <c r="A7" s="10" t="s">
        <v>38</v>
      </c>
      <c r="B7" s="11">
        <v>0</v>
      </c>
      <c r="C7" s="11">
        <v>0</v>
      </c>
    </row>
    <row r="8" spans="1:3" x14ac:dyDescent="0.3">
      <c r="A8" s="10" t="s">
        <v>39</v>
      </c>
      <c r="B8" s="11">
        <v>1</v>
      </c>
      <c r="C8" s="1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8AF04-B7A2-4E6F-8C32-47ABE7B96C41}">
  <dimension ref="A3:B6"/>
  <sheetViews>
    <sheetView workbookViewId="0">
      <selection activeCell="B5" sqref="B4:B5"/>
    </sheetView>
  </sheetViews>
  <sheetFormatPr defaultRowHeight="14.4" x14ac:dyDescent="0.3"/>
  <cols>
    <col min="1" max="1" width="12.5546875" bestFit="1" customWidth="1"/>
    <col min="2" max="2" width="13.6640625" bestFit="1" customWidth="1"/>
  </cols>
  <sheetData>
    <row r="3" spans="1:2" x14ac:dyDescent="0.3">
      <c r="A3" s="9" t="s">
        <v>37</v>
      </c>
      <c r="B3" t="s">
        <v>62</v>
      </c>
    </row>
    <row r="4" spans="1:2" x14ac:dyDescent="0.3">
      <c r="A4" s="10" t="s">
        <v>26</v>
      </c>
      <c r="B4" s="17">
        <v>0.78913828388878726</v>
      </c>
    </row>
    <row r="5" spans="1:2" x14ac:dyDescent="0.3">
      <c r="A5" s="10" t="s">
        <v>25</v>
      </c>
      <c r="B5" s="17">
        <v>0.21086171611121279</v>
      </c>
    </row>
    <row r="6" spans="1:2" x14ac:dyDescent="0.3">
      <c r="A6" s="10" t="s">
        <v>39</v>
      </c>
      <c r="B6" s="1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98C60-DE54-41BD-8477-1A514AE68D16}">
  <dimension ref="A3:C9"/>
  <sheetViews>
    <sheetView workbookViewId="0">
      <selection activeCell="C8" sqref="C4:C8"/>
    </sheetView>
  </sheetViews>
  <sheetFormatPr defaultRowHeight="14.4" x14ac:dyDescent="0.3"/>
  <cols>
    <col min="1" max="1" width="13.21875" bestFit="1" customWidth="1"/>
    <col min="2" max="2" width="11.21875" bestFit="1" customWidth="1"/>
    <col min="3" max="3" width="13.109375" bestFit="1" customWidth="1"/>
  </cols>
  <sheetData>
    <row r="3" spans="1:3" x14ac:dyDescent="0.3">
      <c r="A3" s="9" t="s">
        <v>37</v>
      </c>
      <c r="B3" t="s">
        <v>29</v>
      </c>
      <c r="C3" t="s">
        <v>28</v>
      </c>
    </row>
    <row r="4" spans="1:3" x14ac:dyDescent="0.3">
      <c r="A4" s="10" t="s">
        <v>16</v>
      </c>
      <c r="B4" s="16">
        <v>110</v>
      </c>
      <c r="C4" s="19">
        <v>201510</v>
      </c>
    </row>
    <row r="5" spans="1:3" x14ac:dyDescent="0.3">
      <c r="A5" s="10" t="s">
        <v>15</v>
      </c>
      <c r="B5" s="16">
        <v>84</v>
      </c>
      <c r="C5" s="19">
        <v>186900</v>
      </c>
    </row>
    <row r="6" spans="1:3" x14ac:dyDescent="0.3">
      <c r="A6" s="10" t="s">
        <v>18</v>
      </c>
      <c r="B6" s="16">
        <v>103</v>
      </c>
      <c r="C6" s="19">
        <v>182660</v>
      </c>
    </row>
    <row r="7" spans="1:3" x14ac:dyDescent="0.3">
      <c r="A7" s="10" t="s">
        <v>14</v>
      </c>
      <c r="B7" s="16">
        <v>112</v>
      </c>
      <c r="C7" s="19">
        <v>168545</v>
      </c>
    </row>
    <row r="8" spans="1:3" x14ac:dyDescent="0.3">
      <c r="A8" s="10" t="s">
        <v>17</v>
      </c>
      <c r="B8" s="16">
        <v>91</v>
      </c>
      <c r="C8" s="19">
        <v>161900</v>
      </c>
    </row>
    <row r="9" spans="1:3" x14ac:dyDescent="0.3">
      <c r="A9" s="10" t="s">
        <v>39</v>
      </c>
      <c r="B9" s="16">
        <v>500</v>
      </c>
      <c r="C9" s="4">
        <v>901515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5E93-D65C-406D-83A8-123E28F2C947}">
  <dimension ref="A3:B24"/>
  <sheetViews>
    <sheetView workbookViewId="0">
      <selection activeCell="A3" sqref="A3"/>
    </sheetView>
  </sheetViews>
  <sheetFormatPr defaultRowHeight="14.4" x14ac:dyDescent="0.3"/>
  <cols>
    <col min="1" max="1" width="12.5546875" bestFit="1" customWidth="1"/>
    <col min="2" max="2" width="13.109375" bestFit="1" customWidth="1"/>
  </cols>
  <sheetData>
    <row r="3" spans="1:2" x14ac:dyDescent="0.3">
      <c r="A3" s="9" t="s">
        <v>37</v>
      </c>
      <c r="B3" t="s">
        <v>28</v>
      </c>
    </row>
    <row r="4" spans="1:2" x14ac:dyDescent="0.3">
      <c r="A4" s="10" t="s">
        <v>41</v>
      </c>
      <c r="B4" s="4">
        <v>594220</v>
      </c>
    </row>
    <row r="5" spans="1:2" x14ac:dyDescent="0.3">
      <c r="A5" s="15" t="s">
        <v>46</v>
      </c>
      <c r="B5" s="4">
        <v>56955</v>
      </c>
    </row>
    <row r="6" spans="1:2" x14ac:dyDescent="0.3">
      <c r="A6" s="15" t="s">
        <v>47</v>
      </c>
      <c r="B6" s="4">
        <v>73810</v>
      </c>
    </row>
    <row r="7" spans="1:2" x14ac:dyDescent="0.3">
      <c r="A7" s="15" t="s">
        <v>48</v>
      </c>
      <c r="B7" s="4">
        <v>24365</v>
      </c>
    </row>
    <row r="8" spans="1:2" x14ac:dyDescent="0.3">
      <c r="A8" s="15" t="s">
        <v>49</v>
      </c>
      <c r="B8" s="4">
        <v>65095</v>
      </c>
    </row>
    <row r="9" spans="1:2" x14ac:dyDescent="0.3">
      <c r="A9" s="15" t="s">
        <v>50</v>
      </c>
      <c r="B9" s="4">
        <v>49635</v>
      </c>
    </row>
    <row r="10" spans="1:2" x14ac:dyDescent="0.3">
      <c r="A10" s="15" t="s">
        <v>51</v>
      </c>
      <c r="B10" s="4">
        <v>63695</v>
      </c>
    </row>
    <row r="11" spans="1:2" x14ac:dyDescent="0.3">
      <c r="A11" s="15" t="s">
        <v>52</v>
      </c>
      <c r="B11" s="4">
        <v>39555</v>
      </c>
    </row>
    <row r="12" spans="1:2" x14ac:dyDescent="0.3">
      <c r="A12" s="15" t="s">
        <v>53</v>
      </c>
      <c r="B12" s="4">
        <v>78090</v>
      </c>
    </row>
    <row r="13" spans="1:2" x14ac:dyDescent="0.3">
      <c r="A13" s="15" t="s">
        <v>54</v>
      </c>
      <c r="B13" s="4">
        <v>55735</v>
      </c>
    </row>
    <row r="14" spans="1:2" x14ac:dyDescent="0.3">
      <c r="A14" s="15" t="s">
        <v>43</v>
      </c>
      <c r="B14" s="4">
        <v>20245</v>
      </c>
    </row>
    <row r="15" spans="1:2" x14ac:dyDescent="0.3">
      <c r="A15" s="15" t="s">
        <v>44</v>
      </c>
      <c r="B15" s="4">
        <v>20210</v>
      </c>
    </row>
    <row r="16" spans="1:2" x14ac:dyDescent="0.3">
      <c r="A16" s="15" t="s">
        <v>45</v>
      </c>
      <c r="B16" s="4">
        <v>46830</v>
      </c>
    </row>
    <row r="17" spans="1:2" x14ac:dyDescent="0.3">
      <c r="A17" s="10" t="s">
        <v>42</v>
      </c>
      <c r="B17" s="4">
        <v>307295</v>
      </c>
    </row>
    <row r="18" spans="1:2" x14ac:dyDescent="0.3">
      <c r="A18" s="15" t="s">
        <v>46</v>
      </c>
      <c r="B18" s="4">
        <v>67990</v>
      </c>
    </row>
    <row r="19" spans="1:2" x14ac:dyDescent="0.3">
      <c r="A19" s="15" t="s">
        <v>47</v>
      </c>
      <c r="B19" s="4">
        <v>61270</v>
      </c>
    </row>
    <row r="20" spans="1:2" x14ac:dyDescent="0.3">
      <c r="A20" s="15" t="s">
        <v>48</v>
      </c>
      <c r="B20" s="4">
        <v>44790</v>
      </c>
    </row>
    <row r="21" spans="1:2" x14ac:dyDescent="0.3">
      <c r="A21" s="15" t="s">
        <v>49</v>
      </c>
      <c r="B21" s="4">
        <v>38690</v>
      </c>
    </row>
    <row r="22" spans="1:2" x14ac:dyDescent="0.3">
      <c r="A22" s="15" t="s">
        <v>50</v>
      </c>
      <c r="B22" s="4">
        <v>74420</v>
      </c>
    </row>
    <row r="23" spans="1:2" x14ac:dyDescent="0.3">
      <c r="A23" s="15" t="s">
        <v>51</v>
      </c>
      <c r="B23" s="4">
        <v>20135</v>
      </c>
    </row>
    <row r="24" spans="1:2" x14ac:dyDescent="0.3">
      <c r="A24" s="10" t="s">
        <v>39</v>
      </c>
      <c r="B24" s="4">
        <v>901515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BBF1-5F12-43CB-A663-3E2D0C575A7F}">
  <dimension ref="A2:C4"/>
  <sheetViews>
    <sheetView topLeftCell="A27" zoomScale="80" zoomScaleNormal="80" workbookViewId="0">
      <selection activeCell="V27" sqref="V27"/>
    </sheetView>
  </sheetViews>
  <sheetFormatPr defaultRowHeight="14.4" x14ac:dyDescent="0.3"/>
  <cols>
    <col min="1" max="1" width="14.6640625" bestFit="1" customWidth="1"/>
    <col min="2" max="2" width="16.21875" bestFit="1" customWidth="1"/>
    <col min="3" max="3" width="26.6640625" bestFit="1" customWidth="1"/>
  </cols>
  <sheetData>
    <row r="2" spans="1:3" x14ac:dyDescent="0.3">
      <c r="A2" s="12"/>
    </row>
    <row r="3" spans="1:3" ht="15.6" x14ac:dyDescent="0.3">
      <c r="A3" s="13" t="s">
        <v>28</v>
      </c>
      <c r="B3" s="13" t="s">
        <v>58</v>
      </c>
      <c r="C3" s="13" t="s">
        <v>61</v>
      </c>
    </row>
    <row r="4" spans="1:3" ht="15.6" x14ac:dyDescent="0.3">
      <c r="A4" s="14">
        <v>901515</v>
      </c>
      <c r="B4" s="21">
        <v>500</v>
      </c>
      <c r="C4" s="14">
        <v>1803.03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KPI_Definitions</vt:lpstr>
      <vt:lpstr>Overall_Performance</vt:lpstr>
      <vt:lpstr>Revenue_by_Region</vt:lpstr>
      <vt:lpstr>Revenue_Share_by_Region</vt:lpstr>
      <vt:lpstr>Revenue_by_Product</vt:lpstr>
      <vt:lpstr>Revenue_by_Order_size</vt:lpstr>
      <vt:lpstr>Product_Mix_by_Category</vt:lpstr>
      <vt:lpstr>Salesperson_performance</vt:lpstr>
      <vt:lpstr>Monthly_Revenue_Trend</vt:lpstr>
      <vt:lpstr>Sales_Performance_Dashboard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34676</dc:creator>
  <cp:lastModifiedBy>Shantal Rivas</cp:lastModifiedBy>
  <dcterms:created xsi:type="dcterms:W3CDTF">2025-12-22T16:00:48Z</dcterms:created>
  <dcterms:modified xsi:type="dcterms:W3CDTF">2026-01-09T15:21:21Z</dcterms:modified>
</cp:coreProperties>
</file>